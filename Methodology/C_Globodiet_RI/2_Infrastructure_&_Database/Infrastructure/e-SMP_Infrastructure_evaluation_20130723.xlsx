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90" windowWidth="19320" windowHeight="12060"/>
  </bookViews>
  <sheets>
    <sheet name="infra for e-SMP" sheetId="2" r:id="rId1"/>
    <sheet name="infra for IMapp + dev. servers" sheetId="5" r:id="rId2"/>
    <sheet name="infra for MSapp" sheetId="4" r:id="rId3"/>
  </sheets>
  <definedNames>
    <definedName name="_xlnm.Print_Area" localSheetId="0">'infra for e-SMP'!$A$1:$K$37</definedName>
    <definedName name="_xlnm.Print_Area" localSheetId="1">'infra for IMapp + dev. servers'!$A$1:$K$36</definedName>
    <definedName name="_xlnm.Print_Area" localSheetId="2">'infra for MSapp'!$A$1:$K$30</definedName>
  </definedNames>
  <calcPr calcId="145621"/>
</workbook>
</file>

<file path=xl/calcChain.xml><?xml version="1.0" encoding="utf-8"?>
<calcChain xmlns="http://schemas.openxmlformats.org/spreadsheetml/2006/main">
  <c r="H21" i="4" l="1"/>
  <c r="H17" i="4"/>
  <c r="D35" i="5"/>
  <c r="F35" i="5" s="1"/>
  <c r="G35" i="5" s="1"/>
  <c r="I35" i="5" s="1"/>
  <c r="J35" i="5" s="1"/>
  <c r="D30" i="5"/>
  <c r="F30" i="5" s="1"/>
  <c r="G30" i="5" s="1"/>
  <c r="I30" i="5" s="1"/>
  <c r="H27" i="5"/>
  <c r="F27" i="5"/>
  <c r="G27" i="5" s="1"/>
  <c r="I27" i="5" s="1"/>
  <c r="J27" i="5" s="1"/>
  <c r="F26" i="5"/>
  <c r="G26" i="5" s="1"/>
  <c r="I26" i="5" s="1"/>
  <c r="J26" i="5" s="1"/>
  <c r="F25" i="5"/>
  <c r="G25" i="5" s="1"/>
  <c r="I25" i="5" s="1"/>
  <c r="J25" i="5" s="1"/>
  <c r="F24" i="5"/>
  <c r="G24" i="5" s="1"/>
  <c r="I24" i="5" s="1"/>
  <c r="J24" i="5" s="1"/>
  <c r="G23" i="5"/>
  <c r="F23" i="5"/>
  <c r="F20" i="5"/>
  <c r="F19" i="5"/>
  <c r="F18" i="5"/>
  <c r="F17" i="5"/>
  <c r="G17" i="5" s="1"/>
  <c r="I17" i="5" s="1"/>
  <c r="J17" i="5" s="1"/>
  <c r="F16" i="5"/>
  <c r="F15" i="5"/>
  <c r="F14" i="5"/>
  <c r="G14" i="5" s="1"/>
  <c r="I14" i="5" s="1"/>
  <c r="J14" i="5" s="1"/>
  <c r="F13" i="5"/>
  <c r="F12" i="5"/>
  <c r="F11" i="5"/>
  <c r="G11" i="5" s="1"/>
  <c r="I11" i="5" s="1"/>
  <c r="J11" i="5" s="1"/>
  <c r="R10" i="5"/>
  <c r="F10" i="5"/>
  <c r="F9" i="5"/>
  <c r="G8" i="5"/>
  <c r="I8" i="5" s="1"/>
  <c r="J8" i="5" s="1"/>
  <c r="F8" i="5"/>
  <c r="F7" i="5"/>
  <c r="F6" i="5"/>
  <c r="G5" i="5"/>
  <c r="I5" i="5" s="1"/>
  <c r="F5" i="5"/>
  <c r="D29" i="4"/>
  <c r="F29" i="4" s="1"/>
  <c r="G29" i="4" s="1"/>
  <c r="I29" i="4" s="1"/>
  <c r="J29" i="4" s="1"/>
  <c r="D24" i="4"/>
  <c r="F24" i="4" s="1"/>
  <c r="G24" i="4" s="1"/>
  <c r="I24" i="4" s="1"/>
  <c r="F21" i="4"/>
  <c r="G21" i="4" s="1"/>
  <c r="F20" i="4"/>
  <c r="G20" i="4" s="1"/>
  <c r="I20" i="4" s="1"/>
  <c r="J20" i="4" s="1"/>
  <c r="F19" i="4"/>
  <c r="G19" i="4" s="1"/>
  <c r="I19" i="4" s="1"/>
  <c r="J19" i="4" s="1"/>
  <c r="F18" i="4"/>
  <c r="G18" i="4" s="1"/>
  <c r="I18" i="4" s="1"/>
  <c r="J18" i="4" s="1"/>
  <c r="F17" i="4"/>
  <c r="G17" i="4" s="1"/>
  <c r="F14" i="4"/>
  <c r="F13" i="4"/>
  <c r="F12" i="4"/>
  <c r="F11" i="4"/>
  <c r="R10" i="4"/>
  <c r="F10" i="4"/>
  <c r="F9" i="4"/>
  <c r="F8" i="4"/>
  <c r="F7" i="4"/>
  <c r="F6" i="4"/>
  <c r="F5" i="4"/>
  <c r="I23" i="5" l="1"/>
  <c r="I28" i="5" s="1"/>
  <c r="G5" i="4"/>
  <c r="I5" i="4" s="1"/>
  <c r="G8" i="4"/>
  <c r="I8" i="4" s="1"/>
  <c r="J8" i="4" s="1"/>
  <c r="G11" i="4"/>
  <c r="I11" i="4" s="1"/>
  <c r="J11" i="4" s="1"/>
  <c r="I21" i="4"/>
  <c r="J21" i="4" s="1"/>
  <c r="I22" i="5"/>
  <c r="I29" i="5"/>
  <c r="J29" i="5" s="1"/>
  <c r="J5" i="5"/>
  <c r="J22" i="5" s="1"/>
  <c r="J30" i="5"/>
  <c r="I31" i="5"/>
  <c r="I17" i="4"/>
  <c r="J17" i="4" s="1"/>
  <c r="I16" i="4"/>
  <c r="I23" i="4"/>
  <c r="J23" i="4" s="1"/>
  <c r="J5" i="4"/>
  <c r="J16" i="4" s="1"/>
  <c r="I22" i="4"/>
  <c r="J24" i="4"/>
  <c r="I25" i="4"/>
  <c r="D35" i="2"/>
  <c r="F35" i="2" s="1"/>
  <c r="G35" i="2" s="1"/>
  <c r="I35" i="2" s="1"/>
  <c r="J35" i="2" s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3" i="2"/>
  <c r="G23" i="2"/>
  <c r="I23" i="2"/>
  <c r="J23" i="2" s="1"/>
  <c r="F24" i="2"/>
  <c r="G24" i="2"/>
  <c r="I24" i="2" s="1"/>
  <c r="F25" i="2"/>
  <c r="G25" i="2" s="1"/>
  <c r="I25" i="2" s="1"/>
  <c r="J25" i="2" s="1"/>
  <c r="F26" i="2"/>
  <c r="G26" i="2" s="1"/>
  <c r="I26" i="2" s="1"/>
  <c r="J26" i="2" s="1"/>
  <c r="F27" i="2"/>
  <c r="G27" i="2" s="1"/>
  <c r="H27" i="2"/>
  <c r="D30" i="2"/>
  <c r="F30" i="2" s="1"/>
  <c r="G30" i="2" s="1"/>
  <c r="I30" i="2" s="1"/>
  <c r="R10" i="2"/>
  <c r="J23" i="5" l="1"/>
  <c r="I27" i="2"/>
  <c r="J27" i="2" s="1"/>
  <c r="G11" i="2"/>
  <c r="I11" i="2" s="1"/>
  <c r="J11" i="2" s="1"/>
  <c r="G5" i="2"/>
  <c r="I5" i="2" s="1"/>
  <c r="G17" i="2"/>
  <c r="I17" i="2" s="1"/>
  <c r="G14" i="2"/>
  <c r="I14" i="2" s="1"/>
  <c r="J14" i="2" s="1"/>
  <c r="G8" i="2"/>
  <c r="I8" i="2" s="1"/>
  <c r="J8" i="2" s="1"/>
  <c r="J30" i="2"/>
  <c r="I31" i="2"/>
  <c r="J24" i="2"/>
  <c r="J17" i="2" l="1"/>
  <c r="I22" i="2"/>
  <c r="I28" i="2"/>
  <c r="I29" i="2"/>
  <c r="J29" i="2" s="1"/>
  <c r="J5" i="2"/>
  <c r="J22" i="2" s="1"/>
  <c r="K29" i="5"/>
  <c r="K29" i="2"/>
  <c r="K23" i="4"/>
</calcChain>
</file>

<file path=xl/comments1.xml><?xml version="1.0" encoding="utf-8"?>
<comments xmlns="http://schemas.openxmlformats.org/spreadsheetml/2006/main">
  <authors>
    <author>Van Anh</author>
  </authors>
  <commentList>
    <comment ref="C18" authorId="0">
      <text>
        <r>
          <rPr>
            <b/>
            <sz val="9"/>
            <color indexed="81"/>
            <rFont val="Tahoma"/>
            <family val="2"/>
          </rPr>
          <t>FATA</t>
        </r>
      </text>
    </comment>
    <comment ref="C19" authorId="0">
      <text>
        <r>
          <rPr>
            <b/>
            <sz val="9"/>
            <color indexed="81"/>
            <rFont val="Tahoma"/>
            <family val="2"/>
          </rPr>
          <t>SATA</t>
        </r>
      </text>
    </comment>
    <comment ref="I26" authorId="0">
      <text>
        <r>
          <rPr>
            <b/>
            <sz val="9"/>
            <color indexed="81"/>
            <rFont val="Tahoma"/>
            <family val="2"/>
          </rPr>
          <t>La licence serveur coute un montant fixe de 942,99euros, alors que la licence d'acces coute un montant proportionnel au nb d'utilisateur de 161,11€</t>
        </r>
      </text>
    </comment>
  </commentList>
</comments>
</file>

<file path=xl/comments2.xml><?xml version="1.0" encoding="utf-8"?>
<comments xmlns="http://schemas.openxmlformats.org/spreadsheetml/2006/main">
  <authors>
    <author>Van Anh</author>
  </authors>
  <commentList>
    <comment ref="C18" authorId="0">
      <text>
        <r>
          <rPr>
            <b/>
            <sz val="9"/>
            <color indexed="81"/>
            <rFont val="Tahoma"/>
            <family val="2"/>
          </rPr>
          <t>FATA</t>
        </r>
      </text>
    </comment>
    <comment ref="C19" authorId="0">
      <text>
        <r>
          <rPr>
            <b/>
            <sz val="9"/>
            <color indexed="81"/>
            <rFont val="Tahoma"/>
            <family val="2"/>
          </rPr>
          <t>SATA</t>
        </r>
      </text>
    </comment>
    <comment ref="I26" authorId="0">
      <text>
        <r>
          <rPr>
            <b/>
            <sz val="9"/>
            <color indexed="81"/>
            <rFont val="Tahoma"/>
            <family val="2"/>
          </rPr>
          <t>La licence serveur coute un montant fixe de 942,99euros, alors que la licence d'acces coute un montant proportionnel au nb d'utilisateur de 161,11€</t>
        </r>
      </text>
    </comment>
  </commentList>
</comments>
</file>

<file path=xl/comments3.xml><?xml version="1.0" encoding="utf-8"?>
<comments xmlns="http://schemas.openxmlformats.org/spreadsheetml/2006/main">
  <authors>
    <author>Van Anh</author>
  </authors>
  <commentList>
    <comment ref="C12" authorId="0">
      <text>
        <r>
          <rPr>
            <b/>
            <sz val="9"/>
            <color indexed="81"/>
            <rFont val="Tahoma"/>
            <family val="2"/>
          </rPr>
          <t>FATA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SATA</t>
        </r>
      </text>
    </comment>
    <comment ref="I20" authorId="0">
      <text>
        <r>
          <rPr>
            <b/>
            <sz val="9"/>
            <color indexed="81"/>
            <rFont val="Tahoma"/>
            <family val="2"/>
          </rPr>
          <t>La licence serveur coute un montant fixe de 942,99euros, alors que la licence d'acces coute un montant proportionnel au nb d'utilisateur de 161,11€</t>
        </r>
      </text>
    </comment>
  </commentList>
</comments>
</file>

<file path=xl/sharedStrings.xml><?xml version="1.0" encoding="utf-8"?>
<sst xmlns="http://schemas.openxmlformats.org/spreadsheetml/2006/main" count="310" uniqueCount="71">
  <si>
    <t>seconde</t>
  </si>
  <si>
    <t>Temp d'attente acceptable</t>
  </si>
  <si>
    <t>MO</t>
  </si>
  <si>
    <t>Taille moyenne estimée des objet devant être téléchargés à chaque sollicitation du serveur</t>
  </si>
  <si>
    <t>util</t>
  </si>
  <si>
    <t>Nb util instantané</t>
  </si>
  <si>
    <t>Nb util réel</t>
  </si>
  <si>
    <t>Nb util estimé</t>
  </si>
  <si>
    <t>256 kb/s</t>
  </si>
  <si>
    <t>Bande passante</t>
  </si>
  <si>
    <t>Connexion</t>
  </si>
  <si>
    <t>Total</t>
  </si>
  <si>
    <t>Prix annuel</t>
  </si>
  <si>
    <t>Qtt</t>
  </si>
  <si>
    <t>Type</t>
  </si>
  <si>
    <t>Libellé</t>
  </si>
  <si>
    <t>Prix total</t>
  </si>
  <si>
    <t>Prix unitaire</t>
  </si>
  <si>
    <t>Composant</t>
  </si>
  <si>
    <t>Eléments</t>
  </si>
  <si>
    <t>Mandatory for external server</t>
  </si>
  <si>
    <t>Firewall rules, bandwith allocation, connection</t>
  </si>
  <si>
    <t>Network management</t>
  </si>
  <si>
    <t>Standard</t>
  </si>
  <si>
    <t>Wind server 2008</t>
  </si>
  <si>
    <t>Small business</t>
  </si>
  <si>
    <t>Ms Sql server</t>
  </si>
  <si>
    <t>Developper</t>
  </si>
  <si>
    <t>Enterprise</t>
  </si>
  <si>
    <t>Licence</t>
  </si>
  <si>
    <t>SATA</t>
  </si>
  <si>
    <t>Backup</t>
  </si>
  <si>
    <t>Slow RAID 5</t>
  </si>
  <si>
    <t>FATA</t>
  </si>
  <si>
    <t>Medium RAID</t>
  </si>
  <si>
    <t>FIBER CHANNEL</t>
  </si>
  <si>
    <t>Fast RAID 5</t>
  </si>
  <si>
    <t>Disque dur</t>
  </si>
  <si>
    <t>Baie de stockage</t>
  </si>
  <si>
    <t>Nature des disques</t>
  </si>
  <si>
    <t>2 GO</t>
  </si>
  <si>
    <t>RAM</t>
  </si>
  <si>
    <t>1 core 2,53 GHZ</t>
  </si>
  <si>
    <t>Processeur</t>
  </si>
  <si>
    <t>Serveur TEST</t>
  </si>
  <si>
    <t>GO au total utilisable par 2GO indivisible</t>
  </si>
  <si>
    <t>Nombre de coeur disponible</t>
  </si>
  <si>
    <t>Serveur SVN</t>
  </si>
  <si>
    <t>90 * 2 GO</t>
  </si>
  <si>
    <t>Nombre de GO de RAM</t>
  </si>
  <si>
    <t>Serveur de base de données</t>
  </si>
  <si>
    <t>Nombre de coeur par processeur</t>
  </si>
  <si>
    <t>Nombre de processeur par serveur physique</t>
  </si>
  <si>
    <t>Nb de serveur physique</t>
  </si>
  <si>
    <t>Serveur d'application</t>
  </si>
  <si>
    <t>Prix</t>
  </si>
  <si>
    <t>IP Public</t>
  </si>
  <si>
    <t>IP</t>
  </si>
  <si>
    <t>IP public</t>
  </si>
  <si>
    <t>TOTAL MACHINES</t>
  </si>
  <si>
    <t>TOTAL LICENCES</t>
  </si>
  <si>
    <t>AUTRES</t>
  </si>
  <si>
    <t>TOTAL GLOBAL</t>
  </si>
  <si>
    <t>Eléments (Connexion)</t>
  </si>
  <si>
    <t>Charge 
annuelle</t>
  </si>
  <si>
    <t>no</t>
  </si>
  <si>
    <t>yes</t>
  </si>
  <si>
    <t>Cost for ITS</t>
  </si>
  <si>
    <r>
      <rPr>
        <b/>
        <sz val="14"/>
        <color rgb="FF0000FF"/>
        <rFont val="Calibri"/>
        <family val="2"/>
      </rPr>
      <t>Infrastructure MSapp</t>
    </r>
    <r>
      <rPr>
        <b/>
        <sz val="14"/>
        <rFont val="Calibri"/>
        <family val="2"/>
      </rPr>
      <t xml:space="preserve">
Evaluation &amp; calculation</t>
    </r>
    <r>
      <rPr>
        <b/>
        <sz val="14"/>
        <color rgb="FFFF0000"/>
        <rFont val="Calibri"/>
        <family val="2"/>
      </rPr>
      <t xml:space="preserve"> </t>
    </r>
  </si>
  <si>
    <r>
      <rPr>
        <b/>
        <sz val="14"/>
        <color rgb="FF0000FF"/>
        <rFont val="Calibri"/>
        <family val="2"/>
      </rPr>
      <t>Infrastructure IMapp + development</t>
    </r>
    <r>
      <rPr>
        <b/>
        <sz val="14"/>
        <rFont val="Calibri"/>
        <family val="2"/>
      </rPr>
      <t xml:space="preserve">
Evaluation &amp; calculation</t>
    </r>
    <r>
      <rPr>
        <b/>
        <sz val="14"/>
        <color rgb="FFFF0000"/>
        <rFont val="Calibri"/>
        <family val="2"/>
      </rPr>
      <t xml:space="preserve"> </t>
    </r>
  </si>
  <si>
    <r>
      <rPr>
        <b/>
        <sz val="14"/>
        <color rgb="FF0000FF"/>
        <rFont val="Calibri"/>
        <family val="2"/>
      </rPr>
      <t>Infrastructure e-SMP (MSapp + IMapp + development)</t>
    </r>
    <r>
      <rPr>
        <b/>
        <sz val="14"/>
        <rFont val="Calibri"/>
        <family val="2"/>
      </rPr>
      <t xml:space="preserve">
Evaluation &amp; calculation</t>
    </r>
    <r>
      <rPr>
        <b/>
        <sz val="14"/>
        <color rgb="FFFF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</si>
</sst>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€&quot;* #,##0.00_-;\-&quot;€&quot;* #,##0.00_-;_-&quot;€&quot;* &quot;-&quot;??_-;_-@_-"/>
    <numFmt numFmtId="164" formatCode="_-* #,##0.00\ &quot;€&quot;_-;\-* #,##0.00\ &quot;€&quot;_-;_-* &quot;-&quot;??\ &quot;€&quot;_-;_-@_-"/>
    <numFmt numFmtId="165" formatCode="_-* #,##0.00_€_-;\-* #,##0.00_€_-;_-* &quot;-&quot;??_€_-;_-@_-"/>
    <numFmt numFmtId="166" formatCode="_-* #,##0.00&quot;€&quot;_-;\-* #,##0.00&quot;€&quot;_-;_-* &quot;-&quot;??&quot;€&quot;_-;_-@_-"/>
  </numFmts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1"/>
      <name val="Tahoma"/>
      <family val="2"/>
    </font>
    <font>
      <b/>
      <sz val="10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2"/>
      <color indexed="8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9"/>
      <name val="Calibri"/>
      <family val="2"/>
    </font>
    <font>
      <sz val="11"/>
      <name val="Calibri"/>
      <family val="2"/>
    </font>
    <font>
      <b/>
      <sz val="10"/>
      <color rgb="FF0000FF"/>
      <name val="Calibri"/>
      <family val="2"/>
    </font>
    <font>
      <b/>
      <sz val="9"/>
      <color rgb="FF0000FF"/>
      <name val="Calibri"/>
      <family val="2"/>
    </font>
    <font>
      <b/>
      <sz val="11"/>
      <color theme="1"/>
      <name val="Calibri"/>
      <family val="2"/>
      <scheme val="minor"/>
    </font>
    <font>
      <sz val="9"/>
      <color rgb="FF0000FF"/>
      <name val="Calibri"/>
      <family val="2"/>
    </font>
    <font>
      <b/>
      <sz val="14"/>
      <color rgb="FFFF0000"/>
      <name val="Calibri"/>
      <family val="2"/>
    </font>
    <font>
      <b/>
      <sz val="14"/>
      <name val="Calibri"/>
      <family val="2"/>
    </font>
    <font>
      <b/>
      <sz val="14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164" fontId="3" fillId="0" borderId="1" xfId="1" applyNumberFormat="1" applyFont="1" applyFill="1" applyBorder="1"/>
    <xf numFmtId="164" fontId="3" fillId="0" borderId="1" xfId="1" applyFont="1" applyFill="1" applyBorder="1"/>
    <xf numFmtId="0" fontId="3" fillId="0" borderId="1" xfId="0" applyFont="1" applyFill="1" applyBorder="1"/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3" fillId="0" borderId="1" xfId="1" applyFont="1" applyBorder="1"/>
    <xf numFmtId="0" fontId="3" fillId="0" borderId="1" xfId="0" applyFont="1" applyBorder="1"/>
    <xf numFmtId="164" fontId="3" fillId="0" borderId="2" xfId="1" applyFont="1" applyBorder="1"/>
    <xf numFmtId="0" fontId="3" fillId="0" borderId="2" xfId="0" applyFont="1" applyBorder="1"/>
    <xf numFmtId="0" fontId="2" fillId="0" borderId="0" xfId="0" applyFont="1" applyAlignment="1">
      <alignment horizontal="center" vertical="center"/>
    </xf>
    <xf numFmtId="0" fontId="0" fillId="2" borderId="0" xfId="0" applyFill="1" applyAlignme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Border="1" applyAlignment="1"/>
    <xf numFmtId="0" fontId="3" fillId="0" borderId="0" xfId="0" applyFont="1" applyBorder="1" applyAlignment="1">
      <alignment wrapText="1"/>
    </xf>
    <xf numFmtId="0" fontId="3" fillId="0" borderId="0" xfId="0" applyFont="1" applyFill="1" applyBorder="1"/>
    <xf numFmtId="164" fontId="3" fillId="0" borderId="0" xfId="1" applyFont="1" applyFill="1" applyBorder="1"/>
    <xf numFmtId="164" fontId="3" fillId="0" borderId="0" xfId="1" applyNumberFormat="1" applyFont="1" applyFill="1" applyBorder="1"/>
    <xf numFmtId="164" fontId="3" fillId="0" borderId="0" xfId="0" applyNumberFormat="1" applyFont="1" applyBorder="1"/>
    <xf numFmtId="0" fontId="3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164" fontId="3" fillId="0" borderId="4" xfId="1" applyNumberFormat="1" applyFont="1" applyFill="1" applyBorder="1"/>
    <xf numFmtId="0" fontId="0" fillId="0" borderId="0" xfId="0" applyFill="1"/>
    <xf numFmtId="1" fontId="3" fillId="0" borderId="2" xfId="1" applyNumberFormat="1" applyFont="1" applyBorder="1" applyAlignment="1">
      <alignment horizontal="center" vertical="center"/>
    </xf>
    <xf numFmtId="1" fontId="3" fillId="0" borderId="5" xfId="1" applyNumberFormat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0" fontId="4" fillId="0" borderId="1" xfId="0" applyFont="1" applyFill="1" applyBorder="1"/>
    <xf numFmtId="0" fontId="4" fillId="0" borderId="1" xfId="0" applyFont="1" applyBorder="1"/>
    <xf numFmtId="164" fontId="4" fillId="0" borderId="1" xfId="1" applyFont="1" applyFill="1" applyBorder="1"/>
    <xf numFmtId="164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1" fontId="4" fillId="0" borderId="1" xfId="1" applyNumberFormat="1" applyFont="1" applyBorder="1" applyAlignment="1">
      <alignment horizontal="center" vertical="center"/>
    </xf>
    <xf numFmtId="164" fontId="4" fillId="0" borderId="1" xfId="1" applyFont="1" applyBorder="1"/>
    <xf numFmtId="0" fontId="6" fillId="0" borderId="1" xfId="0" applyFont="1" applyBorder="1" applyAlignment="1">
      <alignment vertical="center" wrapText="1"/>
    </xf>
    <xf numFmtId="0" fontId="7" fillId="0" borderId="0" xfId="0" applyFont="1"/>
    <xf numFmtId="164" fontId="2" fillId="3" borderId="3" xfId="0" applyNumberFormat="1" applyFont="1" applyFill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" fontId="7" fillId="0" borderId="3" xfId="1" applyNumberFormat="1" applyFont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1" fontId="7" fillId="3" borderId="3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9" fillId="0" borderId="6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10" fillId="2" borderId="3" xfId="0" applyNumberFormat="1" applyFont="1" applyFill="1" applyBorder="1"/>
    <xf numFmtId="164" fontId="12" fillId="0" borderId="3" xfId="0" applyNumberFormat="1" applyFont="1" applyBorder="1"/>
    <xf numFmtId="1" fontId="13" fillId="0" borderId="1" xfId="1" applyNumberFormat="1" applyFont="1" applyBorder="1" applyAlignment="1">
      <alignment horizontal="center" vertical="center"/>
    </xf>
    <xf numFmtId="164" fontId="11" fillId="3" borderId="3" xfId="0" applyNumberFormat="1" applyFont="1" applyFill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1" fontId="3" fillId="0" borderId="5" xfId="1" applyNumberFormat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64" fontId="4" fillId="0" borderId="1" xfId="0" applyNumberFormat="1" applyFont="1" applyFill="1" applyBorder="1"/>
    <xf numFmtId="0" fontId="15" fillId="4" borderId="1" xfId="0" applyFont="1" applyFill="1" applyBorder="1" applyAlignment="1">
      <alignment horizontal="center"/>
    </xf>
    <xf numFmtId="0" fontId="16" fillId="0" borderId="0" xfId="0" applyFont="1"/>
    <xf numFmtId="44" fontId="0" fillId="0" borderId="0" xfId="0" applyNumberFormat="1"/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164" fontId="3" fillId="0" borderId="1" xfId="1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164" fontId="4" fillId="0" borderId="2" xfId="1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164" fontId="3" fillId="0" borderId="5" xfId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1" fontId="3" fillId="0" borderId="5" xfId="1" applyNumberFormat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right" vertical="center" wrapText="1"/>
    </xf>
    <xf numFmtId="0" fontId="7" fillId="3" borderId="8" xfId="0" applyFont="1" applyFill="1" applyBorder="1" applyAlignment="1">
      <alignment horizontal="right"/>
    </xf>
    <xf numFmtId="0" fontId="7" fillId="3" borderId="9" xfId="0" applyFont="1" applyFill="1" applyBorder="1" applyAlignment="1">
      <alignment horizontal="right"/>
    </xf>
    <xf numFmtId="0" fontId="6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right" wrapText="1"/>
    </xf>
    <xf numFmtId="0" fontId="10" fillId="0" borderId="8" xfId="0" applyFont="1" applyBorder="1" applyAlignment="1">
      <alignment horizontal="right"/>
    </xf>
    <xf numFmtId="0" fontId="10" fillId="0" borderId="9" xfId="0" applyFont="1" applyBorder="1" applyAlignment="1">
      <alignment horizontal="right"/>
    </xf>
    <xf numFmtId="0" fontId="18" fillId="0" borderId="0" xfId="0" applyFont="1" applyBorder="1" applyAlignment="1">
      <alignment horizontal="center" wrapText="1"/>
    </xf>
    <xf numFmtId="0" fontId="18" fillId="0" borderId="0" xfId="0" applyFont="1" applyBorder="1" applyAlignment="1">
      <alignment horizontal="center"/>
    </xf>
  </cellXfs>
  <cellStyles count="4">
    <cellStyle name="Currency" xfId="1" builtinId="4"/>
    <cellStyle name="Milliers 2" xfId="2"/>
    <cellStyle name="Monétaire 2" xfId="3"/>
    <cellStyle name="Normal" xfId="0" builtinId="0"/>
  </cellStyles>
  <dxfs count="0"/>
  <tableStyles count="0" defaultTableStyle="TableStyleMedium2" defaultPivotStyle="PivotStyleLight16"/>
  <colors>
    <mruColors>
      <color rgb="FFCCFFCC"/>
      <color rgb="FFCC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S42"/>
  <sheetViews>
    <sheetView tabSelected="1" workbookViewId="0">
      <selection activeCell="P27" sqref="P27"/>
    </sheetView>
  </sheetViews>
  <sheetFormatPr defaultColWidth="11.42578125" defaultRowHeight="15" x14ac:dyDescent="0.25"/>
  <cols>
    <col min="1" max="1" width="11.5703125" style="2" customWidth="1"/>
    <col min="2" max="2" width="13.5703125" bestFit="1" customWidth="1"/>
    <col min="3" max="3" width="12.5703125" bestFit="1" customWidth="1"/>
    <col min="4" max="4" width="5.42578125" bestFit="1" customWidth="1"/>
    <col min="5" max="5" width="10.28515625" bestFit="1" customWidth="1"/>
    <col min="6" max="6" width="9.42578125" bestFit="1" customWidth="1"/>
    <col min="7" max="7" width="9.5703125" bestFit="1" customWidth="1"/>
    <col min="8" max="8" width="3.42578125" style="1" bestFit="1" customWidth="1"/>
    <col min="9" max="9" width="12" bestFit="1" customWidth="1"/>
    <col min="10" max="10" width="11" bestFit="1" customWidth="1"/>
    <col min="11" max="11" width="5" customWidth="1"/>
    <col min="12" max="12" width="13.42578125" customWidth="1"/>
  </cols>
  <sheetData>
    <row r="1" spans="1:19" ht="40.5" customHeight="1" x14ac:dyDescent="0.25">
      <c r="A1" s="68" t="s">
        <v>70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9" ht="15.75" x14ac:dyDescent="0.25">
      <c r="A2" s="52"/>
      <c r="B2" s="52"/>
      <c r="C2" s="52"/>
      <c r="D2" s="52"/>
      <c r="E2" s="52"/>
      <c r="F2" s="52"/>
      <c r="G2" s="52"/>
      <c r="H2" s="52"/>
      <c r="I2" s="52"/>
      <c r="J2" s="53"/>
      <c r="K2" s="53"/>
    </row>
    <row r="3" spans="1:19" s="19" customFormat="1" x14ac:dyDescent="0.25">
      <c r="A3" s="70" t="s">
        <v>19</v>
      </c>
      <c r="B3" s="71" t="s">
        <v>18</v>
      </c>
      <c r="C3" s="72"/>
      <c r="D3" s="72"/>
      <c r="E3" s="72"/>
      <c r="F3" s="73"/>
      <c r="G3" s="74" t="s">
        <v>17</v>
      </c>
      <c r="H3" s="74" t="s">
        <v>13</v>
      </c>
      <c r="I3" s="74" t="s">
        <v>16</v>
      </c>
      <c r="J3" s="75" t="s">
        <v>64</v>
      </c>
      <c r="K3" s="75" t="s">
        <v>56</v>
      </c>
    </row>
    <row r="4" spans="1:19" s="19" customFormat="1" x14ac:dyDescent="0.25">
      <c r="A4" s="70"/>
      <c r="B4" s="8" t="s">
        <v>15</v>
      </c>
      <c r="C4" s="8" t="s">
        <v>14</v>
      </c>
      <c r="D4" s="8" t="s">
        <v>13</v>
      </c>
      <c r="E4" s="8" t="s">
        <v>55</v>
      </c>
      <c r="F4" s="8" t="s">
        <v>11</v>
      </c>
      <c r="G4" s="74"/>
      <c r="H4" s="74"/>
      <c r="I4" s="74"/>
      <c r="J4" s="76"/>
      <c r="K4" s="76"/>
    </row>
    <row r="5" spans="1:19" x14ac:dyDescent="0.25">
      <c r="A5" s="77" t="s">
        <v>54</v>
      </c>
      <c r="B5" s="16" t="s">
        <v>43</v>
      </c>
      <c r="C5" s="16" t="s">
        <v>42</v>
      </c>
      <c r="D5" s="65">
        <v>8</v>
      </c>
      <c r="E5" s="15">
        <v>500</v>
      </c>
      <c r="F5" s="15">
        <f t="shared" ref="F5:F20" si="0">D5*E5</f>
        <v>4000</v>
      </c>
      <c r="G5" s="79">
        <f>SUM(F5:F7)</f>
        <v>5230</v>
      </c>
      <c r="H5" s="81">
        <v>2</v>
      </c>
      <c r="I5" s="83">
        <f>G5*H5</f>
        <v>10460</v>
      </c>
      <c r="J5" s="80">
        <f>I5/4</f>
        <v>2615</v>
      </c>
      <c r="K5" s="86">
        <v>1</v>
      </c>
      <c r="N5" t="s">
        <v>53</v>
      </c>
      <c r="R5">
        <v>3</v>
      </c>
    </row>
    <row r="6" spans="1:19" x14ac:dyDescent="0.25">
      <c r="A6" s="77"/>
      <c r="B6" s="16" t="s">
        <v>41</v>
      </c>
      <c r="C6" s="16" t="s">
        <v>40</v>
      </c>
      <c r="D6" s="65">
        <v>3</v>
      </c>
      <c r="E6" s="15">
        <v>250</v>
      </c>
      <c r="F6" s="15">
        <f t="shared" si="0"/>
        <v>750</v>
      </c>
      <c r="G6" s="79"/>
      <c r="H6" s="81"/>
      <c r="I6" s="84"/>
      <c r="J6" s="85"/>
      <c r="K6" s="87"/>
      <c r="N6" t="s">
        <v>52</v>
      </c>
      <c r="R6">
        <v>2</v>
      </c>
    </row>
    <row r="7" spans="1:19" x14ac:dyDescent="0.25">
      <c r="A7" s="77"/>
      <c r="B7" s="16" t="s">
        <v>37</v>
      </c>
      <c r="C7" s="16" t="s">
        <v>36</v>
      </c>
      <c r="D7" s="4">
        <v>60</v>
      </c>
      <c r="E7" s="15">
        <v>8</v>
      </c>
      <c r="F7" s="15">
        <f t="shared" si="0"/>
        <v>480</v>
      </c>
      <c r="G7" s="79"/>
      <c r="H7" s="81"/>
      <c r="I7" s="84"/>
      <c r="J7" s="85"/>
      <c r="K7" s="88"/>
      <c r="N7" t="s">
        <v>51</v>
      </c>
      <c r="R7">
        <v>6</v>
      </c>
    </row>
    <row r="8" spans="1:19" x14ac:dyDescent="0.25">
      <c r="A8" s="77" t="s">
        <v>50</v>
      </c>
      <c r="B8" s="16" t="s">
        <v>43</v>
      </c>
      <c r="C8" s="16" t="s">
        <v>42</v>
      </c>
      <c r="D8" s="65">
        <v>8</v>
      </c>
      <c r="E8" s="15">
        <v>500</v>
      </c>
      <c r="F8" s="15">
        <f t="shared" si="0"/>
        <v>4000</v>
      </c>
      <c r="G8" s="79">
        <f>SUM(F8:F10)</f>
        <v>5230</v>
      </c>
      <c r="H8" s="81">
        <v>2</v>
      </c>
      <c r="I8" s="83">
        <f>G8*H8</f>
        <v>10460</v>
      </c>
      <c r="J8" s="80">
        <f>I8/4</f>
        <v>2615</v>
      </c>
      <c r="K8" s="86">
        <v>1</v>
      </c>
      <c r="N8" t="s">
        <v>49</v>
      </c>
      <c r="R8" t="s">
        <v>48</v>
      </c>
    </row>
    <row r="9" spans="1:19" x14ac:dyDescent="0.25">
      <c r="A9" s="77"/>
      <c r="B9" s="16" t="s">
        <v>41</v>
      </c>
      <c r="C9" s="16" t="s">
        <v>40</v>
      </c>
      <c r="D9" s="65">
        <v>3</v>
      </c>
      <c r="E9" s="15">
        <v>250</v>
      </c>
      <c r="F9" s="15">
        <f t="shared" si="0"/>
        <v>750</v>
      </c>
      <c r="G9" s="79"/>
      <c r="H9" s="81"/>
      <c r="I9" s="84"/>
      <c r="J9" s="85"/>
      <c r="K9" s="87"/>
    </row>
    <row r="10" spans="1:19" x14ac:dyDescent="0.25">
      <c r="A10" s="78"/>
      <c r="B10" s="18" t="s">
        <v>37</v>
      </c>
      <c r="C10" s="18" t="s">
        <v>36</v>
      </c>
      <c r="D10" s="62">
        <v>60</v>
      </c>
      <c r="E10" s="17">
        <v>8</v>
      </c>
      <c r="F10" s="17">
        <f t="shared" si="0"/>
        <v>480</v>
      </c>
      <c r="G10" s="80"/>
      <c r="H10" s="82"/>
      <c r="I10" s="84"/>
      <c r="J10" s="85"/>
      <c r="K10" s="88"/>
      <c r="N10" t="s">
        <v>46</v>
      </c>
      <c r="R10">
        <f>R7*R6*R5</f>
        <v>36</v>
      </c>
    </row>
    <row r="11" spans="1:19" x14ac:dyDescent="0.25">
      <c r="A11" s="89" t="s">
        <v>47</v>
      </c>
      <c r="B11" s="16" t="s">
        <v>43</v>
      </c>
      <c r="C11" s="16" t="s">
        <v>42</v>
      </c>
      <c r="D11" s="4">
        <v>1</v>
      </c>
      <c r="E11" s="15">
        <v>500</v>
      </c>
      <c r="F11" s="15">
        <f t="shared" si="0"/>
        <v>500</v>
      </c>
      <c r="G11" s="79">
        <f>SUM(F11:F13)</f>
        <v>2400</v>
      </c>
      <c r="H11" s="96">
        <v>1</v>
      </c>
      <c r="I11" s="83">
        <f>G11*H11</f>
        <v>2400</v>
      </c>
      <c r="J11" s="80">
        <f>I11/4</f>
        <v>600</v>
      </c>
      <c r="K11" s="86">
        <v>1</v>
      </c>
      <c r="N11" t="s">
        <v>46</v>
      </c>
      <c r="R11">
        <v>180</v>
      </c>
      <c r="S11" t="s">
        <v>45</v>
      </c>
    </row>
    <row r="12" spans="1:19" x14ac:dyDescent="0.25">
      <c r="A12" s="89"/>
      <c r="B12" s="16" t="s">
        <v>41</v>
      </c>
      <c r="C12" s="16" t="s">
        <v>40</v>
      </c>
      <c r="D12" s="4">
        <v>6</v>
      </c>
      <c r="E12" s="15">
        <v>250</v>
      </c>
      <c r="F12" s="15">
        <f t="shared" si="0"/>
        <v>1500</v>
      </c>
      <c r="G12" s="79"/>
      <c r="H12" s="96"/>
      <c r="I12" s="84"/>
      <c r="J12" s="85"/>
      <c r="K12" s="87"/>
    </row>
    <row r="13" spans="1:19" x14ac:dyDescent="0.25">
      <c r="A13" s="89"/>
      <c r="B13" s="16" t="s">
        <v>37</v>
      </c>
      <c r="C13" s="16" t="s">
        <v>36</v>
      </c>
      <c r="D13" s="4">
        <v>50</v>
      </c>
      <c r="E13" s="15">
        <v>8</v>
      </c>
      <c r="F13" s="15">
        <f t="shared" si="0"/>
        <v>400</v>
      </c>
      <c r="G13" s="79"/>
      <c r="H13" s="96"/>
      <c r="I13" s="84"/>
      <c r="J13" s="85"/>
      <c r="K13" s="88"/>
      <c r="N13" t="s">
        <v>39</v>
      </c>
    </row>
    <row r="14" spans="1:19" x14ac:dyDescent="0.25">
      <c r="A14" s="89" t="s">
        <v>44</v>
      </c>
      <c r="B14" s="16" t="s">
        <v>43</v>
      </c>
      <c r="C14" s="16" t="s">
        <v>42</v>
      </c>
      <c r="D14" s="63">
        <v>4</v>
      </c>
      <c r="E14" s="15">
        <v>500</v>
      </c>
      <c r="F14" s="15">
        <f t="shared" si="0"/>
        <v>2000</v>
      </c>
      <c r="G14" s="79">
        <f>SUM(F14:F16)</f>
        <v>2900</v>
      </c>
      <c r="H14" s="96">
        <v>1</v>
      </c>
      <c r="I14" s="83">
        <f>G14*H14</f>
        <v>2900</v>
      </c>
      <c r="J14" s="80">
        <f>I14/4</f>
        <v>725</v>
      </c>
      <c r="K14" s="86">
        <v>1</v>
      </c>
      <c r="N14" t="s">
        <v>35</v>
      </c>
    </row>
    <row r="15" spans="1:19" x14ac:dyDescent="0.25">
      <c r="A15" s="89"/>
      <c r="B15" s="16" t="s">
        <v>41</v>
      </c>
      <c r="C15" s="16" t="s">
        <v>40</v>
      </c>
      <c r="D15" s="4">
        <v>2</v>
      </c>
      <c r="E15" s="15">
        <v>250</v>
      </c>
      <c r="F15" s="15">
        <f t="shared" si="0"/>
        <v>500</v>
      </c>
      <c r="G15" s="79"/>
      <c r="H15" s="96"/>
      <c r="I15" s="84"/>
      <c r="J15" s="85"/>
      <c r="K15" s="87"/>
      <c r="N15" t="s">
        <v>33</v>
      </c>
    </row>
    <row r="16" spans="1:19" x14ac:dyDescent="0.25">
      <c r="A16" s="89"/>
      <c r="B16" s="16" t="s">
        <v>37</v>
      </c>
      <c r="C16" s="16" t="s">
        <v>36</v>
      </c>
      <c r="D16" s="4">
        <v>50</v>
      </c>
      <c r="E16" s="15">
        <v>8</v>
      </c>
      <c r="F16" s="15">
        <f t="shared" si="0"/>
        <v>400</v>
      </c>
      <c r="G16" s="79"/>
      <c r="H16" s="96"/>
      <c r="I16" s="84"/>
      <c r="J16" s="85"/>
      <c r="K16" s="88"/>
      <c r="N16" t="s">
        <v>30</v>
      </c>
    </row>
    <row r="17" spans="1:15" ht="15" customHeight="1" x14ac:dyDescent="0.25">
      <c r="A17" s="100" t="s">
        <v>38</v>
      </c>
      <c r="B17" s="103" t="s">
        <v>37</v>
      </c>
      <c r="C17" s="7" t="s">
        <v>36</v>
      </c>
      <c r="D17" s="4">
        <v>10</v>
      </c>
      <c r="E17" s="6">
        <v>8</v>
      </c>
      <c r="F17" s="15">
        <f t="shared" si="0"/>
        <v>80</v>
      </c>
      <c r="G17" s="93">
        <f>SUM(F17:F21)</f>
        <v>1580</v>
      </c>
      <c r="H17" s="82">
        <v>2</v>
      </c>
      <c r="I17" s="90">
        <f>G17*H17</f>
        <v>3160</v>
      </c>
      <c r="J17" s="93">
        <f>I17/4</f>
        <v>790</v>
      </c>
      <c r="K17" s="33"/>
      <c r="N17" t="s">
        <v>30</v>
      </c>
    </row>
    <row r="18" spans="1:15" x14ac:dyDescent="0.25">
      <c r="A18" s="101"/>
      <c r="B18" s="104"/>
      <c r="C18" s="7" t="s">
        <v>34</v>
      </c>
      <c r="D18" s="4">
        <v>100</v>
      </c>
      <c r="E18" s="6">
        <v>4</v>
      </c>
      <c r="F18" s="15">
        <f t="shared" si="0"/>
        <v>400</v>
      </c>
      <c r="G18" s="94"/>
      <c r="H18" s="106"/>
      <c r="I18" s="91"/>
      <c r="J18" s="94"/>
      <c r="K18" s="34"/>
    </row>
    <row r="19" spans="1:15" x14ac:dyDescent="0.25">
      <c r="A19" s="101"/>
      <c r="B19" s="104"/>
      <c r="C19" s="7" t="s">
        <v>32</v>
      </c>
      <c r="D19" s="4">
        <v>100</v>
      </c>
      <c r="E19" s="6">
        <v>1</v>
      </c>
      <c r="F19" s="15">
        <f t="shared" si="0"/>
        <v>100</v>
      </c>
      <c r="G19" s="94"/>
      <c r="H19" s="106"/>
      <c r="I19" s="91"/>
      <c r="J19" s="94"/>
      <c r="K19" s="34"/>
    </row>
    <row r="20" spans="1:15" x14ac:dyDescent="0.25">
      <c r="A20" s="101"/>
      <c r="B20" s="104"/>
      <c r="C20" s="7" t="s">
        <v>31</v>
      </c>
      <c r="D20" s="4">
        <v>500</v>
      </c>
      <c r="E20" s="6">
        <v>2</v>
      </c>
      <c r="F20" s="15">
        <f t="shared" si="0"/>
        <v>1000</v>
      </c>
      <c r="G20" s="94"/>
      <c r="H20" s="106"/>
      <c r="I20" s="91"/>
      <c r="J20" s="94"/>
      <c r="K20" s="34"/>
    </row>
    <row r="21" spans="1:15" x14ac:dyDescent="0.25">
      <c r="A21" s="102"/>
      <c r="B21" s="105"/>
      <c r="C21" s="7"/>
      <c r="D21" s="16"/>
      <c r="E21" s="6"/>
      <c r="F21" s="15"/>
      <c r="G21" s="95"/>
      <c r="H21" s="107"/>
      <c r="I21" s="92"/>
      <c r="J21" s="95"/>
      <c r="K21" s="35"/>
    </row>
    <row r="22" spans="1:15" s="45" customFormat="1" x14ac:dyDescent="0.25">
      <c r="A22" s="97" t="s">
        <v>59</v>
      </c>
      <c r="B22" s="98"/>
      <c r="C22" s="98"/>
      <c r="D22" s="98"/>
      <c r="E22" s="98"/>
      <c r="F22" s="98"/>
      <c r="G22" s="98"/>
      <c r="H22" s="99"/>
      <c r="I22" s="46">
        <f>SUM(I5:I21)</f>
        <v>29380</v>
      </c>
      <c r="J22" s="57">
        <f>SUM(J5:J21)</f>
        <v>7345</v>
      </c>
      <c r="K22" s="50"/>
      <c r="N22" t="s">
        <v>67</v>
      </c>
    </row>
    <row r="23" spans="1:15" x14ac:dyDescent="0.25">
      <c r="A23" s="100" t="s">
        <v>29</v>
      </c>
      <c r="B23" s="37" t="s">
        <v>26</v>
      </c>
      <c r="C23" s="37" t="s">
        <v>23</v>
      </c>
      <c r="D23" s="38">
        <v>1</v>
      </c>
      <c r="E23" s="39">
        <v>6264</v>
      </c>
      <c r="F23" s="40">
        <f t="shared" ref="F23:F30" si="1">E23*D23</f>
        <v>6264</v>
      </c>
      <c r="G23" s="40">
        <f t="shared" ref="G23:G30" si="2">F23</f>
        <v>6264</v>
      </c>
      <c r="H23" s="65">
        <v>2</v>
      </c>
      <c r="I23" s="64">
        <f>G23*H23</f>
        <v>12528</v>
      </c>
      <c r="J23" s="40">
        <f t="shared" ref="J23:J30" si="3">I23/4</f>
        <v>3132</v>
      </c>
      <c r="K23" s="42"/>
      <c r="N23" t="s">
        <v>66</v>
      </c>
      <c r="O23" s="45"/>
    </row>
    <row r="24" spans="1:15" x14ac:dyDescent="0.25">
      <c r="A24" s="101"/>
      <c r="B24" s="37" t="s">
        <v>26</v>
      </c>
      <c r="C24" s="37" t="s">
        <v>28</v>
      </c>
      <c r="D24" s="38">
        <v>0</v>
      </c>
      <c r="E24" s="39">
        <v>26108</v>
      </c>
      <c r="F24" s="40">
        <f t="shared" si="1"/>
        <v>0</v>
      </c>
      <c r="G24" s="40">
        <f t="shared" si="2"/>
        <v>0</v>
      </c>
      <c r="H24" s="41">
        <v>0</v>
      </c>
      <c r="I24" s="64">
        <f>G24*H24</f>
        <v>0</v>
      </c>
      <c r="J24" s="40">
        <f t="shared" si="3"/>
        <v>0</v>
      </c>
      <c r="K24" s="42"/>
    </row>
    <row r="25" spans="1:15" x14ac:dyDescent="0.25">
      <c r="A25" s="101"/>
      <c r="B25" s="37" t="s">
        <v>26</v>
      </c>
      <c r="C25" s="37" t="s">
        <v>27</v>
      </c>
      <c r="D25" s="38">
        <v>1</v>
      </c>
      <c r="E25" s="39">
        <v>44.36</v>
      </c>
      <c r="F25" s="40">
        <f t="shared" si="1"/>
        <v>44.36</v>
      </c>
      <c r="G25" s="40">
        <f t="shared" si="2"/>
        <v>44.36</v>
      </c>
      <c r="H25" s="41">
        <v>1</v>
      </c>
      <c r="I25" s="64">
        <f>G25*H25</f>
        <v>44.36</v>
      </c>
      <c r="J25" s="40">
        <f t="shared" si="3"/>
        <v>11.09</v>
      </c>
      <c r="K25" s="42"/>
    </row>
    <row r="26" spans="1:15" x14ac:dyDescent="0.25">
      <c r="A26" s="101"/>
      <c r="B26" s="37" t="s">
        <v>26</v>
      </c>
      <c r="C26" s="37" t="s">
        <v>25</v>
      </c>
      <c r="D26" s="38">
        <v>0</v>
      </c>
      <c r="E26" s="39">
        <v>942.99</v>
      </c>
      <c r="F26" s="40">
        <f t="shared" si="1"/>
        <v>0</v>
      </c>
      <c r="G26" s="40">
        <f t="shared" si="2"/>
        <v>0</v>
      </c>
      <c r="H26" s="41">
        <v>0</v>
      </c>
      <c r="I26" s="64">
        <f>G26 + (H26*160)</f>
        <v>0</v>
      </c>
      <c r="J26" s="40">
        <f t="shared" si="3"/>
        <v>0</v>
      </c>
      <c r="K26" s="42"/>
      <c r="N26" t="s">
        <v>66</v>
      </c>
    </row>
    <row r="27" spans="1:15" x14ac:dyDescent="0.25">
      <c r="A27" s="102"/>
      <c r="B27" s="37" t="s">
        <v>24</v>
      </c>
      <c r="C27" s="38" t="s">
        <v>23</v>
      </c>
      <c r="D27" s="38">
        <v>0</v>
      </c>
      <c r="E27" s="43">
        <v>0</v>
      </c>
      <c r="F27" s="40">
        <f t="shared" si="1"/>
        <v>0</v>
      </c>
      <c r="G27" s="40">
        <f t="shared" si="2"/>
        <v>0</v>
      </c>
      <c r="H27" s="65">
        <f>H5+H8+H11+H14</f>
        <v>6</v>
      </c>
      <c r="I27" s="64">
        <f>G27*H27</f>
        <v>0</v>
      </c>
      <c r="J27" s="40">
        <f t="shared" si="3"/>
        <v>0</v>
      </c>
      <c r="K27" s="42"/>
    </row>
    <row r="28" spans="1:15" s="45" customFormat="1" x14ac:dyDescent="0.25">
      <c r="A28" s="97" t="s">
        <v>60</v>
      </c>
      <c r="B28" s="98"/>
      <c r="C28" s="98"/>
      <c r="D28" s="98"/>
      <c r="E28" s="98"/>
      <c r="F28" s="98"/>
      <c r="G28" s="98"/>
      <c r="H28" s="99"/>
      <c r="I28" s="46">
        <f>SUM(I23:I27)</f>
        <v>12572.36</v>
      </c>
      <c r="J28" s="49"/>
      <c r="K28" s="50"/>
    </row>
    <row r="29" spans="1:15" s="45" customFormat="1" x14ac:dyDescent="0.25">
      <c r="A29" s="108" t="s">
        <v>62</v>
      </c>
      <c r="B29" s="109"/>
      <c r="C29" s="109"/>
      <c r="D29" s="109"/>
      <c r="E29" s="109"/>
      <c r="F29" s="109"/>
      <c r="G29" s="109"/>
      <c r="H29" s="110"/>
      <c r="I29" s="54">
        <f>SUM(I5:I5:I21)+SUM(I23:I27)</f>
        <v>41952.36</v>
      </c>
      <c r="J29" s="55">
        <f>I29/4</f>
        <v>10488.09</v>
      </c>
      <c r="K29" s="56">
        <f ca="1">SUM(K5:K30)</f>
        <v>4</v>
      </c>
    </row>
    <row r="30" spans="1:15" s="10" customFormat="1" ht="48" x14ac:dyDescent="0.25">
      <c r="A30" s="44" t="s">
        <v>22</v>
      </c>
      <c r="B30" s="14" t="s">
        <v>21</v>
      </c>
      <c r="C30" s="14" t="s">
        <v>20</v>
      </c>
      <c r="D30" s="13">
        <f>SUM(H5:H16)</f>
        <v>6</v>
      </c>
      <c r="E30" s="13">
        <v>100</v>
      </c>
      <c r="F30" s="11">
        <f t="shared" si="1"/>
        <v>600</v>
      </c>
      <c r="G30" s="11">
        <f t="shared" si="2"/>
        <v>600</v>
      </c>
      <c r="H30" s="12">
        <v>1</v>
      </c>
      <c r="I30" s="11">
        <f>G30*H30</f>
        <v>600</v>
      </c>
      <c r="J30" s="11">
        <f t="shared" si="3"/>
        <v>150</v>
      </c>
      <c r="K30" s="36"/>
      <c r="N30" s="10" t="s">
        <v>65</v>
      </c>
    </row>
    <row r="31" spans="1:15" s="45" customFormat="1" x14ac:dyDescent="0.25">
      <c r="A31" s="97" t="s">
        <v>61</v>
      </c>
      <c r="B31" s="98"/>
      <c r="C31" s="98"/>
      <c r="D31" s="98"/>
      <c r="E31" s="98"/>
      <c r="F31" s="98"/>
      <c r="G31" s="98"/>
      <c r="H31" s="99"/>
      <c r="I31" s="46">
        <f>I30</f>
        <v>600</v>
      </c>
      <c r="J31" s="47"/>
      <c r="K31" s="48"/>
    </row>
    <row r="32" spans="1:15" x14ac:dyDescent="0.25">
      <c r="A32" s="9"/>
    </row>
    <row r="33" spans="1:11" x14ac:dyDescent="0.25">
      <c r="A33" s="70" t="s">
        <v>63</v>
      </c>
      <c r="B33" s="71" t="s">
        <v>18</v>
      </c>
      <c r="C33" s="72"/>
      <c r="D33" s="72"/>
      <c r="E33" s="72"/>
      <c r="F33" s="73"/>
      <c r="G33" s="74" t="s">
        <v>17</v>
      </c>
      <c r="H33" s="74" t="s">
        <v>13</v>
      </c>
      <c r="I33" s="74" t="s">
        <v>16</v>
      </c>
      <c r="J33" s="75" t="s">
        <v>64</v>
      </c>
      <c r="K33" s="30"/>
    </row>
    <row r="34" spans="1:11" x14ac:dyDescent="0.25">
      <c r="A34" s="70"/>
      <c r="B34" s="8" t="s">
        <v>15</v>
      </c>
      <c r="C34" s="8" t="s">
        <v>14</v>
      </c>
      <c r="D34" s="8" t="s">
        <v>13</v>
      </c>
      <c r="E34" s="8" t="s">
        <v>12</v>
      </c>
      <c r="F34" s="8" t="s">
        <v>11</v>
      </c>
      <c r="G34" s="74"/>
      <c r="H34" s="74"/>
      <c r="I34" s="74"/>
      <c r="J34" s="76"/>
      <c r="K34" s="30"/>
    </row>
    <row r="35" spans="1:11" x14ac:dyDescent="0.25">
      <c r="A35" s="51" t="s">
        <v>10</v>
      </c>
      <c r="B35" s="37" t="s">
        <v>9</v>
      </c>
      <c r="C35" s="7" t="s">
        <v>8</v>
      </c>
      <c r="D35" s="7">
        <f>((I40*I41*1000000*8)/256000)/I42</f>
        <v>56.25</v>
      </c>
      <c r="E35" s="6">
        <v>75</v>
      </c>
      <c r="F35" s="5">
        <f>D35*E35</f>
        <v>4218.75</v>
      </c>
      <c r="G35" s="3">
        <f>F35</f>
        <v>4218.75</v>
      </c>
      <c r="H35" s="4">
        <v>1</v>
      </c>
      <c r="I35" s="3">
        <f>G35*H35</f>
        <v>4218.75</v>
      </c>
      <c r="J35" s="3">
        <f>H35*I35</f>
        <v>4218.75</v>
      </c>
      <c r="K35" s="31"/>
    </row>
    <row r="36" spans="1:11" x14ac:dyDescent="0.25">
      <c r="A36" s="51" t="s">
        <v>57</v>
      </c>
      <c r="B36" s="37" t="s">
        <v>58</v>
      </c>
      <c r="C36" s="7"/>
      <c r="D36" s="7"/>
      <c r="E36" s="6"/>
      <c r="F36" s="5"/>
      <c r="G36" s="3"/>
      <c r="H36" s="4">
        <v>4</v>
      </c>
      <c r="I36" s="3"/>
      <c r="J36" s="3"/>
      <c r="K36" s="27"/>
    </row>
    <row r="37" spans="1:11" x14ac:dyDescent="0.25">
      <c r="A37" s="24"/>
      <c r="B37" s="25"/>
      <c r="C37" s="25"/>
      <c r="D37" s="25"/>
      <c r="E37" s="26"/>
      <c r="F37" s="27"/>
      <c r="G37" s="28"/>
      <c r="H37" s="29"/>
      <c r="I37" s="28"/>
      <c r="J37" s="28"/>
      <c r="K37" s="27"/>
    </row>
    <row r="38" spans="1:11" x14ac:dyDescent="0.25">
      <c r="A38" s="20" t="s">
        <v>7</v>
      </c>
      <c r="B38" s="21"/>
      <c r="C38" s="21"/>
      <c r="D38" s="21"/>
      <c r="E38" s="21"/>
      <c r="F38" s="21"/>
      <c r="G38" s="21"/>
      <c r="H38" s="22"/>
      <c r="I38" s="21">
        <v>200</v>
      </c>
      <c r="J38" s="21" t="s">
        <v>4</v>
      </c>
      <c r="K38" s="32"/>
    </row>
    <row r="39" spans="1:11" x14ac:dyDescent="0.25">
      <c r="A39" s="20" t="s">
        <v>6</v>
      </c>
      <c r="B39" s="21"/>
      <c r="C39" s="21"/>
      <c r="D39" s="21"/>
      <c r="E39" s="21"/>
      <c r="F39" s="21"/>
      <c r="G39" s="21"/>
      <c r="H39" s="22"/>
      <c r="I39" s="21">
        <v>100</v>
      </c>
      <c r="J39" s="21" t="s">
        <v>4</v>
      </c>
      <c r="K39" s="32"/>
    </row>
    <row r="40" spans="1:11" x14ac:dyDescent="0.25">
      <c r="A40" s="20" t="s">
        <v>5</v>
      </c>
      <c r="B40" s="21"/>
      <c r="C40" s="21"/>
      <c r="D40" s="21"/>
      <c r="E40" s="21"/>
      <c r="F40" s="21"/>
      <c r="G40" s="21"/>
      <c r="H40" s="22"/>
      <c r="I40" s="21">
        <v>30</v>
      </c>
      <c r="J40" s="21" t="s">
        <v>4</v>
      </c>
      <c r="K40" s="32"/>
    </row>
    <row r="41" spans="1:11" x14ac:dyDescent="0.25">
      <c r="A41" s="23" t="s">
        <v>3</v>
      </c>
      <c r="B41" s="21"/>
      <c r="C41" s="21"/>
      <c r="D41" s="21"/>
      <c r="E41" s="21"/>
      <c r="F41" s="21"/>
      <c r="G41" s="21"/>
      <c r="H41" s="22"/>
      <c r="I41" s="21">
        <v>1.5</v>
      </c>
      <c r="J41" s="21" t="s">
        <v>2</v>
      </c>
      <c r="K41" s="32"/>
    </row>
    <row r="42" spans="1:11" x14ac:dyDescent="0.25">
      <c r="A42" s="20" t="s">
        <v>1</v>
      </c>
      <c r="B42" s="21"/>
      <c r="C42" s="21"/>
      <c r="D42" s="21"/>
      <c r="E42" s="21"/>
      <c r="F42" s="21"/>
      <c r="G42" s="21"/>
      <c r="H42" s="22"/>
      <c r="I42" s="21">
        <v>25</v>
      </c>
      <c r="J42" s="21" t="s">
        <v>0</v>
      </c>
      <c r="K42" s="32"/>
    </row>
  </sheetData>
  <mergeCells count="49">
    <mergeCell ref="I33:I34"/>
    <mergeCell ref="J33:J34"/>
    <mergeCell ref="A28:H28"/>
    <mergeCell ref="A31:H31"/>
    <mergeCell ref="A29:H29"/>
    <mergeCell ref="A33:A34"/>
    <mergeCell ref="B33:F33"/>
    <mergeCell ref="G33:G34"/>
    <mergeCell ref="H33:H34"/>
    <mergeCell ref="A22:H22"/>
    <mergeCell ref="A23:A27"/>
    <mergeCell ref="A17:A21"/>
    <mergeCell ref="B17:B21"/>
    <mergeCell ref="G17:G21"/>
    <mergeCell ref="H17:H21"/>
    <mergeCell ref="K14:K16"/>
    <mergeCell ref="A11:A13"/>
    <mergeCell ref="G11:G13"/>
    <mergeCell ref="I17:I21"/>
    <mergeCell ref="J17:J21"/>
    <mergeCell ref="A14:A16"/>
    <mergeCell ref="G14:G16"/>
    <mergeCell ref="H14:H16"/>
    <mergeCell ref="I14:I16"/>
    <mergeCell ref="J14:J16"/>
    <mergeCell ref="H11:H13"/>
    <mergeCell ref="I11:I13"/>
    <mergeCell ref="J5:J7"/>
    <mergeCell ref="K5:K7"/>
    <mergeCell ref="J8:J10"/>
    <mergeCell ref="K8:K10"/>
    <mergeCell ref="J11:J13"/>
    <mergeCell ref="K11:K13"/>
    <mergeCell ref="A8:A10"/>
    <mergeCell ref="G8:G10"/>
    <mergeCell ref="H8:H10"/>
    <mergeCell ref="I8:I10"/>
    <mergeCell ref="A5:A7"/>
    <mergeCell ref="G5:G7"/>
    <mergeCell ref="H5:H7"/>
    <mergeCell ref="I5:I7"/>
    <mergeCell ref="A1:K1"/>
    <mergeCell ref="A3:A4"/>
    <mergeCell ref="B3:F3"/>
    <mergeCell ref="G3:G4"/>
    <mergeCell ref="H3:H4"/>
    <mergeCell ref="I3:I4"/>
    <mergeCell ref="J3:J4"/>
    <mergeCell ref="K3:K4"/>
  </mergeCells>
  <phoneticPr fontId="8" type="noConversion"/>
  <pageMargins left="0.19685039370078741" right="0" top="0.78740157480314965" bottom="0" header="0.51181102362204722" footer="0.51181102362204722"/>
  <pageSetup paperSize="9" scale="95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FFCC"/>
  </sheetPr>
  <dimension ref="A1:S42"/>
  <sheetViews>
    <sheetView workbookViewId="0">
      <selection activeCell="L25" sqref="L25"/>
    </sheetView>
  </sheetViews>
  <sheetFormatPr defaultRowHeight="15" x14ac:dyDescent="0.25"/>
  <cols>
    <col min="1" max="1" width="11.28515625" style="2" customWidth="1"/>
    <col min="2" max="2" width="13.7109375" customWidth="1"/>
    <col min="3" max="3" width="12.5703125" bestFit="1" customWidth="1"/>
    <col min="4" max="4" width="5.42578125" bestFit="1" customWidth="1"/>
    <col min="5" max="5" width="10.42578125" bestFit="1" customWidth="1"/>
    <col min="6" max="6" width="9.42578125" bestFit="1" customWidth="1"/>
    <col min="7" max="7" width="9.5703125" bestFit="1" customWidth="1"/>
    <col min="8" max="8" width="3.42578125" style="1" bestFit="1" customWidth="1"/>
    <col min="9" max="9" width="12.140625" bestFit="1" customWidth="1"/>
    <col min="10" max="10" width="11" bestFit="1" customWidth="1"/>
    <col min="11" max="11" width="5.85546875" customWidth="1"/>
    <col min="12" max="12" width="13.42578125" customWidth="1"/>
  </cols>
  <sheetData>
    <row r="1" spans="1:19" ht="37.5" customHeight="1" x14ac:dyDescent="0.3">
      <c r="A1" s="111" t="s">
        <v>69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9" ht="15.75" x14ac:dyDescent="0.25">
      <c r="A2" s="52"/>
      <c r="B2" s="52"/>
      <c r="C2" s="52"/>
      <c r="D2" s="52"/>
      <c r="E2" s="52"/>
      <c r="F2" s="52"/>
      <c r="G2" s="52"/>
      <c r="H2" s="52"/>
      <c r="I2" s="52"/>
      <c r="J2" s="53"/>
      <c r="K2" s="53"/>
    </row>
    <row r="3" spans="1:19" x14ac:dyDescent="0.25">
      <c r="A3" s="70" t="s">
        <v>19</v>
      </c>
      <c r="B3" s="71" t="s">
        <v>18</v>
      </c>
      <c r="C3" s="72"/>
      <c r="D3" s="72"/>
      <c r="E3" s="72"/>
      <c r="F3" s="73"/>
      <c r="G3" s="74" t="s">
        <v>17</v>
      </c>
      <c r="H3" s="74" t="s">
        <v>13</v>
      </c>
      <c r="I3" s="74" t="s">
        <v>16</v>
      </c>
      <c r="J3" s="75" t="s">
        <v>64</v>
      </c>
      <c r="K3" s="75" t="s">
        <v>56</v>
      </c>
      <c r="L3" s="19"/>
      <c r="M3" s="19"/>
      <c r="N3" s="19"/>
      <c r="O3" s="19"/>
      <c r="P3" s="19"/>
      <c r="Q3" s="19"/>
      <c r="R3" s="19"/>
      <c r="S3" s="19"/>
    </row>
    <row r="4" spans="1:19" x14ac:dyDescent="0.25">
      <c r="A4" s="70"/>
      <c r="B4" s="8" t="s">
        <v>15</v>
      </c>
      <c r="C4" s="8" t="s">
        <v>14</v>
      </c>
      <c r="D4" s="8" t="s">
        <v>13</v>
      </c>
      <c r="E4" s="8" t="s">
        <v>55</v>
      </c>
      <c r="F4" s="8" t="s">
        <v>11</v>
      </c>
      <c r="G4" s="74"/>
      <c r="H4" s="74"/>
      <c r="I4" s="74"/>
      <c r="J4" s="76"/>
      <c r="K4" s="76"/>
      <c r="L4" s="19"/>
      <c r="M4" s="19"/>
      <c r="N4" s="19"/>
      <c r="O4" s="19"/>
      <c r="P4" s="19"/>
      <c r="Q4" s="19"/>
      <c r="R4" s="19"/>
      <c r="S4" s="19"/>
    </row>
    <row r="5" spans="1:19" x14ac:dyDescent="0.25">
      <c r="A5" s="77" t="s">
        <v>54</v>
      </c>
      <c r="B5" s="16" t="s">
        <v>43</v>
      </c>
      <c r="C5" s="16" t="s">
        <v>42</v>
      </c>
      <c r="D5" s="65">
        <v>8</v>
      </c>
      <c r="E5" s="15">
        <v>500</v>
      </c>
      <c r="F5" s="15">
        <f t="shared" ref="F5:F20" si="0">D5*E5</f>
        <v>4000</v>
      </c>
      <c r="G5" s="79">
        <f>SUM(F5:F7)</f>
        <v>5230</v>
      </c>
      <c r="H5" s="81">
        <v>1</v>
      </c>
      <c r="I5" s="83">
        <f>G5*H5</f>
        <v>5230</v>
      </c>
      <c r="J5" s="80">
        <f>I5/4</f>
        <v>1307.5</v>
      </c>
      <c r="K5" s="86">
        <v>1</v>
      </c>
      <c r="N5" t="s">
        <v>53</v>
      </c>
      <c r="R5">
        <v>3</v>
      </c>
    </row>
    <row r="6" spans="1:19" x14ac:dyDescent="0.25">
      <c r="A6" s="77"/>
      <c r="B6" s="16" t="s">
        <v>41</v>
      </c>
      <c r="C6" s="16" t="s">
        <v>40</v>
      </c>
      <c r="D6" s="65">
        <v>3</v>
      </c>
      <c r="E6" s="15">
        <v>250</v>
      </c>
      <c r="F6" s="15">
        <f t="shared" si="0"/>
        <v>750</v>
      </c>
      <c r="G6" s="79"/>
      <c r="H6" s="81"/>
      <c r="I6" s="84"/>
      <c r="J6" s="85"/>
      <c r="K6" s="87"/>
      <c r="N6" t="s">
        <v>52</v>
      </c>
      <c r="R6">
        <v>2</v>
      </c>
    </row>
    <row r="7" spans="1:19" x14ac:dyDescent="0.25">
      <c r="A7" s="77"/>
      <c r="B7" s="16" t="s">
        <v>37</v>
      </c>
      <c r="C7" s="16" t="s">
        <v>36</v>
      </c>
      <c r="D7" s="4">
        <v>60</v>
      </c>
      <c r="E7" s="15">
        <v>8</v>
      </c>
      <c r="F7" s="15">
        <f t="shared" si="0"/>
        <v>480</v>
      </c>
      <c r="G7" s="79"/>
      <c r="H7" s="81"/>
      <c r="I7" s="84"/>
      <c r="J7" s="85"/>
      <c r="K7" s="88"/>
      <c r="N7" t="s">
        <v>51</v>
      </c>
      <c r="R7">
        <v>6</v>
      </c>
    </row>
    <row r="8" spans="1:19" x14ac:dyDescent="0.25">
      <c r="A8" s="77" t="s">
        <v>50</v>
      </c>
      <c r="B8" s="16" t="s">
        <v>43</v>
      </c>
      <c r="C8" s="16" t="s">
        <v>42</v>
      </c>
      <c r="D8" s="65">
        <v>8</v>
      </c>
      <c r="E8" s="15">
        <v>500</v>
      </c>
      <c r="F8" s="15">
        <f t="shared" si="0"/>
        <v>4000</v>
      </c>
      <c r="G8" s="79">
        <f>SUM(F8:F10)</f>
        <v>5230</v>
      </c>
      <c r="H8" s="81">
        <v>1</v>
      </c>
      <c r="I8" s="83">
        <f>G8*H8</f>
        <v>5230</v>
      </c>
      <c r="J8" s="80">
        <f>I8/4</f>
        <v>1307.5</v>
      </c>
      <c r="K8" s="86">
        <v>1</v>
      </c>
      <c r="N8" t="s">
        <v>49</v>
      </c>
      <c r="R8" t="s">
        <v>48</v>
      </c>
    </row>
    <row r="9" spans="1:19" x14ac:dyDescent="0.25">
      <c r="A9" s="77"/>
      <c r="B9" s="16" t="s">
        <v>41</v>
      </c>
      <c r="C9" s="16" t="s">
        <v>40</v>
      </c>
      <c r="D9" s="65">
        <v>3</v>
      </c>
      <c r="E9" s="15">
        <v>250</v>
      </c>
      <c r="F9" s="15">
        <f t="shared" si="0"/>
        <v>750</v>
      </c>
      <c r="G9" s="79"/>
      <c r="H9" s="81"/>
      <c r="I9" s="84"/>
      <c r="J9" s="85"/>
      <c r="K9" s="87"/>
    </row>
    <row r="10" spans="1:19" x14ac:dyDescent="0.25">
      <c r="A10" s="78"/>
      <c r="B10" s="18" t="s">
        <v>37</v>
      </c>
      <c r="C10" s="18" t="s">
        <v>36</v>
      </c>
      <c r="D10" s="62">
        <v>60</v>
      </c>
      <c r="E10" s="17">
        <v>8</v>
      </c>
      <c r="F10" s="17">
        <f t="shared" si="0"/>
        <v>480</v>
      </c>
      <c r="G10" s="80"/>
      <c r="H10" s="82"/>
      <c r="I10" s="84"/>
      <c r="J10" s="85"/>
      <c r="K10" s="88"/>
      <c r="N10" t="s">
        <v>46</v>
      </c>
      <c r="R10">
        <f>R7*R6*R5</f>
        <v>36</v>
      </c>
    </row>
    <row r="11" spans="1:19" x14ac:dyDescent="0.25">
      <c r="A11" s="89" t="s">
        <v>47</v>
      </c>
      <c r="B11" s="16" t="s">
        <v>43</v>
      </c>
      <c r="C11" s="16" t="s">
        <v>42</v>
      </c>
      <c r="D11" s="4">
        <v>1</v>
      </c>
      <c r="E11" s="15">
        <v>500</v>
      </c>
      <c r="F11" s="15">
        <f t="shared" si="0"/>
        <v>500</v>
      </c>
      <c r="G11" s="79">
        <f>SUM(F11:F13)</f>
        <v>2400</v>
      </c>
      <c r="H11" s="96">
        <v>1</v>
      </c>
      <c r="I11" s="83">
        <f>G11*H11</f>
        <v>2400</v>
      </c>
      <c r="J11" s="80">
        <f>I11/4</f>
        <v>600</v>
      </c>
      <c r="K11" s="86">
        <v>1</v>
      </c>
      <c r="N11" t="s">
        <v>46</v>
      </c>
      <c r="R11">
        <v>180</v>
      </c>
      <c r="S11" t="s">
        <v>45</v>
      </c>
    </row>
    <row r="12" spans="1:19" x14ac:dyDescent="0.25">
      <c r="A12" s="89"/>
      <c r="B12" s="16" t="s">
        <v>41</v>
      </c>
      <c r="C12" s="16" t="s">
        <v>40</v>
      </c>
      <c r="D12" s="4">
        <v>6</v>
      </c>
      <c r="E12" s="15">
        <v>250</v>
      </c>
      <c r="F12" s="15">
        <f t="shared" si="0"/>
        <v>1500</v>
      </c>
      <c r="G12" s="79"/>
      <c r="H12" s="96"/>
      <c r="I12" s="84"/>
      <c r="J12" s="85"/>
      <c r="K12" s="87"/>
    </row>
    <row r="13" spans="1:19" x14ac:dyDescent="0.25">
      <c r="A13" s="89"/>
      <c r="B13" s="16" t="s">
        <v>37</v>
      </c>
      <c r="C13" s="16" t="s">
        <v>36</v>
      </c>
      <c r="D13" s="4">
        <v>50</v>
      </c>
      <c r="E13" s="15">
        <v>8</v>
      </c>
      <c r="F13" s="15">
        <f t="shared" si="0"/>
        <v>400</v>
      </c>
      <c r="G13" s="79"/>
      <c r="H13" s="96"/>
      <c r="I13" s="84"/>
      <c r="J13" s="85"/>
      <c r="K13" s="88"/>
      <c r="N13" t="s">
        <v>39</v>
      </c>
    </row>
    <row r="14" spans="1:19" x14ac:dyDescent="0.25">
      <c r="A14" s="89" t="s">
        <v>44</v>
      </c>
      <c r="B14" s="16" t="s">
        <v>43</v>
      </c>
      <c r="C14" s="16" t="s">
        <v>42</v>
      </c>
      <c r="D14" s="63">
        <v>4</v>
      </c>
      <c r="E14" s="15">
        <v>500</v>
      </c>
      <c r="F14" s="15">
        <f t="shared" si="0"/>
        <v>2000</v>
      </c>
      <c r="G14" s="79">
        <f>SUM(F14:F16)</f>
        <v>2900</v>
      </c>
      <c r="H14" s="96">
        <v>1</v>
      </c>
      <c r="I14" s="83">
        <f>G14*H14</f>
        <v>2900</v>
      </c>
      <c r="J14" s="80">
        <f>I14/4</f>
        <v>725</v>
      </c>
      <c r="K14" s="86">
        <v>1</v>
      </c>
      <c r="N14" t="s">
        <v>35</v>
      </c>
    </row>
    <row r="15" spans="1:19" x14ac:dyDescent="0.25">
      <c r="A15" s="89"/>
      <c r="B15" s="16" t="s">
        <v>41</v>
      </c>
      <c r="C15" s="16" t="s">
        <v>40</v>
      </c>
      <c r="D15" s="4">
        <v>2</v>
      </c>
      <c r="E15" s="15">
        <v>250</v>
      </c>
      <c r="F15" s="15">
        <f t="shared" si="0"/>
        <v>500</v>
      </c>
      <c r="G15" s="79"/>
      <c r="H15" s="96"/>
      <c r="I15" s="84"/>
      <c r="J15" s="85"/>
      <c r="K15" s="87"/>
      <c r="N15" t="s">
        <v>33</v>
      </c>
    </row>
    <row r="16" spans="1:19" x14ac:dyDescent="0.25">
      <c r="A16" s="89"/>
      <c r="B16" s="16" t="s">
        <v>37</v>
      </c>
      <c r="C16" s="16" t="s">
        <v>36</v>
      </c>
      <c r="D16" s="4">
        <v>50</v>
      </c>
      <c r="E16" s="15">
        <v>8</v>
      </c>
      <c r="F16" s="15">
        <f t="shared" si="0"/>
        <v>400</v>
      </c>
      <c r="G16" s="79"/>
      <c r="H16" s="96"/>
      <c r="I16" s="84"/>
      <c r="J16" s="85"/>
      <c r="K16" s="88"/>
      <c r="N16" t="s">
        <v>30</v>
      </c>
    </row>
    <row r="17" spans="1:19" x14ac:dyDescent="0.25">
      <c r="A17" s="100" t="s">
        <v>38</v>
      </c>
      <c r="B17" s="103" t="s">
        <v>37</v>
      </c>
      <c r="C17" s="7" t="s">
        <v>36</v>
      </c>
      <c r="D17" s="4">
        <v>10</v>
      </c>
      <c r="E17" s="6">
        <v>8</v>
      </c>
      <c r="F17" s="15">
        <f t="shared" si="0"/>
        <v>80</v>
      </c>
      <c r="G17" s="93">
        <f>SUM(F17:F21)</f>
        <v>1580</v>
      </c>
      <c r="H17" s="82">
        <v>1</v>
      </c>
      <c r="I17" s="90">
        <f>G17*H17</f>
        <v>1580</v>
      </c>
      <c r="J17" s="93">
        <f>I17/4</f>
        <v>395</v>
      </c>
      <c r="K17" s="58"/>
      <c r="N17" t="s">
        <v>30</v>
      </c>
    </row>
    <row r="18" spans="1:19" x14ac:dyDescent="0.25">
      <c r="A18" s="101"/>
      <c r="B18" s="104"/>
      <c r="C18" s="7" t="s">
        <v>34</v>
      </c>
      <c r="D18" s="4">
        <v>100</v>
      </c>
      <c r="E18" s="6">
        <v>4</v>
      </c>
      <c r="F18" s="15">
        <f t="shared" si="0"/>
        <v>400</v>
      </c>
      <c r="G18" s="94"/>
      <c r="H18" s="106"/>
      <c r="I18" s="91"/>
      <c r="J18" s="94"/>
      <c r="K18" s="59"/>
    </row>
    <row r="19" spans="1:19" x14ac:dyDescent="0.25">
      <c r="A19" s="101"/>
      <c r="B19" s="104"/>
      <c r="C19" s="7" t="s">
        <v>32</v>
      </c>
      <c r="D19" s="4">
        <v>100</v>
      </c>
      <c r="E19" s="6">
        <v>1</v>
      </c>
      <c r="F19" s="15">
        <f t="shared" si="0"/>
        <v>100</v>
      </c>
      <c r="G19" s="94"/>
      <c r="H19" s="106"/>
      <c r="I19" s="91"/>
      <c r="J19" s="94"/>
      <c r="K19" s="59"/>
      <c r="L19" s="67"/>
    </row>
    <row r="20" spans="1:19" x14ac:dyDescent="0.25">
      <c r="A20" s="101"/>
      <c r="B20" s="104"/>
      <c r="C20" s="7" t="s">
        <v>31</v>
      </c>
      <c r="D20" s="4">
        <v>500</v>
      </c>
      <c r="E20" s="6">
        <v>2</v>
      </c>
      <c r="F20" s="15">
        <f t="shared" si="0"/>
        <v>1000</v>
      </c>
      <c r="G20" s="94"/>
      <c r="H20" s="106"/>
      <c r="I20" s="91"/>
      <c r="J20" s="94"/>
      <c r="K20" s="59"/>
    </row>
    <row r="21" spans="1:19" x14ac:dyDescent="0.25">
      <c r="A21" s="102"/>
      <c r="B21" s="105"/>
      <c r="C21" s="7"/>
      <c r="D21" s="16"/>
      <c r="E21" s="6"/>
      <c r="F21" s="15"/>
      <c r="G21" s="95"/>
      <c r="H21" s="107"/>
      <c r="I21" s="92"/>
      <c r="J21" s="95"/>
      <c r="K21" s="60"/>
    </row>
    <row r="22" spans="1:19" x14ac:dyDescent="0.25">
      <c r="A22" s="97" t="s">
        <v>59</v>
      </c>
      <c r="B22" s="98"/>
      <c r="C22" s="98"/>
      <c r="D22" s="98"/>
      <c r="E22" s="98"/>
      <c r="F22" s="98"/>
      <c r="G22" s="98"/>
      <c r="H22" s="99"/>
      <c r="I22" s="46">
        <f>SUM(I5:I21)</f>
        <v>17340</v>
      </c>
      <c r="J22" s="57">
        <f>SUM(J5:J21)</f>
        <v>4335</v>
      </c>
      <c r="K22" s="50"/>
      <c r="L22" s="45"/>
      <c r="M22" s="45"/>
      <c r="N22" t="s">
        <v>67</v>
      </c>
      <c r="O22" s="45"/>
      <c r="P22" s="45"/>
      <c r="Q22" s="45"/>
      <c r="R22" s="45"/>
      <c r="S22" s="45"/>
    </row>
    <row r="23" spans="1:19" x14ac:dyDescent="0.25">
      <c r="A23" s="100" t="s">
        <v>29</v>
      </c>
      <c r="B23" s="37" t="s">
        <v>26</v>
      </c>
      <c r="C23" s="37" t="s">
        <v>23</v>
      </c>
      <c r="D23" s="38">
        <v>1</v>
      </c>
      <c r="E23" s="39">
        <v>6264</v>
      </c>
      <c r="F23" s="40">
        <f t="shared" ref="F23:F30" si="1">E23*D23</f>
        <v>6264</v>
      </c>
      <c r="G23" s="40">
        <f t="shared" ref="G23:G30" si="2">F23</f>
        <v>6264</v>
      </c>
      <c r="H23" s="65">
        <v>1</v>
      </c>
      <c r="I23" s="64">
        <f>G23*H23</f>
        <v>6264</v>
      </c>
      <c r="J23" s="40">
        <f t="shared" ref="J23:J30" si="3">I23/4</f>
        <v>1566</v>
      </c>
      <c r="K23" s="42"/>
      <c r="N23" t="s">
        <v>66</v>
      </c>
      <c r="O23" s="45"/>
    </row>
    <row r="24" spans="1:19" x14ac:dyDescent="0.25">
      <c r="A24" s="101"/>
      <c r="B24" s="37" t="s">
        <v>26</v>
      </c>
      <c r="C24" s="37" t="s">
        <v>28</v>
      </c>
      <c r="D24" s="38">
        <v>0</v>
      </c>
      <c r="E24" s="39">
        <v>26108</v>
      </c>
      <c r="F24" s="40">
        <f t="shared" si="1"/>
        <v>0</v>
      </c>
      <c r="G24" s="40">
        <f t="shared" si="2"/>
        <v>0</v>
      </c>
      <c r="H24" s="41">
        <v>0</v>
      </c>
      <c r="I24" s="64">
        <f>G24*H24</f>
        <v>0</v>
      </c>
      <c r="J24" s="40">
        <f t="shared" si="3"/>
        <v>0</v>
      </c>
      <c r="K24" s="42"/>
    </row>
    <row r="25" spans="1:19" x14ac:dyDescent="0.25">
      <c r="A25" s="101"/>
      <c r="B25" s="37" t="s">
        <v>26</v>
      </c>
      <c r="C25" s="37" t="s">
        <v>27</v>
      </c>
      <c r="D25" s="38">
        <v>1</v>
      </c>
      <c r="E25" s="39">
        <v>44.36</v>
      </c>
      <c r="F25" s="40">
        <f t="shared" si="1"/>
        <v>44.36</v>
      </c>
      <c r="G25" s="40">
        <f t="shared" si="2"/>
        <v>44.36</v>
      </c>
      <c r="H25" s="41">
        <v>1</v>
      </c>
      <c r="I25" s="64">
        <f>G25*H25</f>
        <v>44.36</v>
      </c>
      <c r="J25" s="40">
        <f t="shared" si="3"/>
        <v>11.09</v>
      </c>
      <c r="K25" s="42"/>
    </row>
    <row r="26" spans="1:19" x14ac:dyDescent="0.25">
      <c r="A26" s="101"/>
      <c r="B26" s="37" t="s">
        <v>26</v>
      </c>
      <c r="C26" s="37" t="s">
        <v>25</v>
      </c>
      <c r="D26" s="38">
        <v>0</v>
      </c>
      <c r="E26" s="39">
        <v>942.99</v>
      </c>
      <c r="F26" s="40">
        <f t="shared" si="1"/>
        <v>0</v>
      </c>
      <c r="G26" s="40">
        <f t="shared" si="2"/>
        <v>0</v>
      </c>
      <c r="H26" s="41">
        <v>0</v>
      </c>
      <c r="I26" s="64">
        <f>G26 + (H26*160)</f>
        <v>0</v>
      </c>
      <c r="J26" s="40">
        <f t="shared" si="3"/>
        <v>0</v>
      </c>
      <c r="K26" s="42"/>
      <c r="N26" t="s">
        <v>66</v>
      </c>
      <c r="Q26" s="66"/>
    </row>
    <row r="27" spans="1:19" x14ac:dyDescent="0.25">
      <c r="A27" s="102"/>
      <c r="B27" s="37" t="s">
        <v>24</v>
      </c>
      <c r="C27" s="38" t="s">
        <v>23</v>
      </c>
      <c r="D27" s="38">
        <v>0</v>
      </c>
      <c r="E27" s="43">
        <v>0</v>
      </c>
      <c r="F27" s="40">
        <f t="shared" si="1"/>
        <v>0</v>
      </c>
      <c r="G27" s="40">
        <f t="shared" si="2"/>
        <v>0</v>
      </c>
      <c r="H27" s="65">
        <f>H5+H8+H11+H14</f>
        <v>4</v>
      </c>
      <c r="I27" s="64">
        <f>G27*H27</f>
        <v>0</v>
      </c>
      <c r="J27" s="40">
        <f t="shared" si="3"/>
        <v>0</v>
      </c>
      <c r="K27" s="42"/>
    </row>
    <row r="28" spans="1:19" x14ac:dyDescent="0.25">
      <c r="A28" s="97" t="s">
        <v>60</v>
      </c>
      <c r="B28" s="98"/>
      <c r="C28" s="98"/>
      <c r="D28" s="98"/>
      <c r="E28" s="98"/>
      <c r="F28" s="98"/>
      <c r="G28" s="98"/>
      <c r="H28" s="99"/>
      <c r="I28" s="46">
        <f>SUM(I23:I27)</f>
        <v>6308.36</v>
      </c>
      <c r="J28" s="49"/>
      <c r="K28" s="50"/>
      <c r="L28" s="45"/>
      <c r="M28" s="45"/>
      <c r="N28" s="45"/>
      <c r="O28" s="45"/>
      <c r="P28" s="45"/>
      <c r="Q28" s="45"/>
      <c r="R28" s="45"/>
      <c r="S28" s="45"/>
    </row>
    <row r="29" spans="1:19" x14ac:dyDescent="0.25">
      <c r="A29" s="108" t="s">
        <v>62</v>
      </c>
      <c r="B29" s="109"/>
      <c r="C29" s="109"/>
      <c r="D29" s="109"/>
      <c r="E29" s="109"/>
      <c r="F29" s="109"/>
      <c r="G29" s="109"/>
      <c r="H29" s="110"/>
      <c r="I29" s="54">
        <f>SUM(I5:I5:I21)+SUM(I23:I27)</f>
        <v>23648.36</v>
      </c>
      <c r="J29" s="55">
        <f>I29/4</f>
        <v>5912.09</v>
      </c>
      <c r="K29" s="56">
        <f ca="1">SUM(K5:K30)</f>
        <v>4</v>
      </c>
      <c r="L29" s="45"/>
      <c r="M29" s="45"/>
      <c r="N29" s="45"/>
      <c r="O29" s="45"/>
      <c r="P29" s="45"/>
      <c r="Q29" s="45"/>
      <c r="R29" s="45"/>
      <c r="S29" s="45"/>
    </row>
    <row r="30" spans="1:19" ht="84" x14ac:dyDescent="0.25">
      <c r="A30" s="44" t="s">
        <v>22</v>
      </c>
      <c r="B30" s="14" t="s">
        <v>21</v>
      </c>
      <c r="C30" s="14" t="s">
        <v>20</v>
      </c>
      <c r="D30" s="13">
        <f>SUM(H5:H16)</f>
        <v>4</v>
      </c>
      <c r="E30" s="13">
        <v>100</v>
      </c>
      <c r="F30" s="11">
        <f t="shared" si="1"/>
        <v>400</v>
      </c>
      <c r="G30" s="11">
        <f t="shared" si="2"/>
        <v>400</v>
      </c>
      <c r="H30" s="61">
        <v>1</v>
      </c>
      <c r="I30" s="11">
        <f>G30*H30</f>
        <v>400</v>
      </c>
      <c r="J30" s="11">
        <f t="shared" si="3"/>
        <v>100</v>
      </c>
      <c r="K30" s="36"/>
      <c r="L30" s="10"/>
      <c r="M30" s="10"/>
      <c r="N30" s="10" t="s">
        <v>65</v>
      </c>
      <c r="O30" s="10"/>
      <c r="P30" s="10"/>
      <c r="Q30" s="10"/>
      <c r="R30" s="10"/>
      <c r="S30" s="10"/>
    </row>
    <row r="31" spans="1:19" x14ac:dyDescent="0.25">
      <c r="A31" s="97" t="s">
        <v>61</v>
      </c>
      <c r="B31" s="98"/>
      <c r="C31" s="98"/>
      <c r="D31" s="98"/>
      <c r="E31" s="98"/>
      <c r="F31" s="98"/>
      <c r="G31" s="98"/>
      <c r="H31" s="99"/>
      <c r="I31" s="46">
        <f>I30</f>
        <v>400</v>
      </c>
      <c r="J31" s="47"/>
      <c r="K31" s="48"/>
      <c r="L31" s="45"/>
      <c r="M31" s="45"/>
      <c r="N31" s="45"/>
      <c r="O31" s="45"/>
      <c r="P31" s="45"/>
      <c r="Q31" s="45"/>
      <c r="R31" s="45"/>
      <c r="S31" s="45"/>
    </row>
    <row r="32" spans="1:19" x14ac:dyDescent="0.25">
      <c r="A32" s="9"/>
    </row>
    <row r="33" spans="1:11" x14ac:dyDescent="0.25">
      <c r="A33" s="70" t="s">
        <v>63</v>
      </c>
      <c r="B33" s="71" t="s">
        <v>18</v>
      </c>
      <c r="C33" s="72"/>
      <c r="D33" s="72"/>
      <c r="E33" s="72"/>
      <c r="F33" s="73"/>
      <c r="G33" s="74" t="s">
        <v>17</v>
      </c>
      <c r="H33" s="74" t="s">
        <v>13</v>
      </c>
      <c r="I33" s="74" t="s">
        <v>16</v>
      </c>
      <c r="J33" s="75" t="s">
        <v>64</v>
      </c>
      <c r="K33" s="30"/>
    </row>
    <row r="34" spans="1:11" x14ac:dyDescent="0.25">
      <c r="A34" s="70"/>
      <c r="B34" s="8" t="s">
        <v>15</v>
      </c>
      <c r="C34" s="8" t="s">
        <v>14</v>
      </c>
      <c r="D34" s="8" t="s">
        <v>13</v>
      </c>
      <c r="E34" s="8" t="s">
        <v>12</v>
      </c>
      <c r="F34" s="8" t="s">
        <v>11</v>
      </c>
      <c r="G34" s="74"/>
      <c r="H34" s="74"/>
      <c r="I34" s="74"/>
      <c r="J34" s="76"/>
      <c r="K34" s="30"/>
    </row>
    <row r="35" spans="1:11" x14ac:dyDescent="0.25">
      <c r="A35" s="51" t="s">
        <v>10</v>
      </c>
      <c r="B35" s="37" t="s">
        <v>9</v>
      </c>
      <c r="C35" s="7" t="s">
        <v>8</v>
      </c>
      <c r="D35" s="7">
        <f>((I40*I41*1000000*8)/256000)/I42</f>
        <v>56.25</v>
      </c>
      <c r="E35" s="6">
        <v>75</v>
      </c>
      <c r="F35" s="5">
        <f>D35*E35</f>
        <v>4218.75</v>
      </c>
      <c r="G35" s="3">
        <f>F35</f>
        <v>4218.75</v>
      </c>
      <c r="H35" s="4">
        <v>1</v>
      </c>
      <c r="I35" s="3">
        <f>G35*H35</f>
        <v>4218.75</v>
      </c>
      <c r="J35" s="3">
        <f>H35*I35</f>
        <v>4218.75</v>
      </c>
      <c r="K35" s="31"/>
    </row>
    <row r="36" spans="1:11" x14ac:dyDescent="0.25">
      <c r="A36" s="51" t="s">
        <v>57</v>
      </c>
      <c r="B36" s="37" t="s">
        <v>58</v>
      </c>
      <c r="C36" s="7"/>
      <c r="D36" s="7"/>
      <c r="E36" s="6"/>
      <c r="F36" s="5"/>
      <c r="G36" s="3"/>
      <c r="H36" s="4">
        <v>4</v>
      </c>
      <c r="I36" s="3"/>
      <c r="J36" s="3"/>
      <c r="K36" s="27"/>
    </row>
    <row r="37" spans="1:11" x14ac:dyDescent="0.25">
      <c r="A37" s="24"/>
      <c r="B37" s="25"/>
      <c r="C37" s="25"/>
      <c r="D37" s="25"/>
      <c r="E37" s="26"/>
      <c r="F37" s="27"/>
      <c r="G37" s="28"/>
      <c r="H37" s="29"/>
      <c r="I37" s="28"/>
      <c r="J37" s="28"/>
      <c r="K37" s="27"/>
    </row>
    <row r="38" spans="1:11" x14ac:dyDescent="0.25">
      <c r="A38" s="20" t="s">
        <v>7</v>
      </c>
      <c r="B38" s="21"/>
      <c r="C38" s="21"/>
      <c r="D38" s="21"/>
      <c r="E38" s="21"/>
      <c r="F38" s="21"/>
      <c r="G38" s="21"/>
      <c r="H38" s="22"/>
      <c r="I38" s="21">
        <v>200</v>
      </c>
      <c r="J38" s="21" t="s">
        <v>4</v>
      </c>
      <c r="K38" s="32"/>
    </row>
    <row r="39" spans="1:11" x14ac:dyDescent="0.25">
      <c r="A39" s="20" t="s">
        <v>6</v>
      </c>
      <c r="B39" s="21"/>
      <c r="C39" s="21"/>
      <c r="D39" s="21"/>
      <c r="E39" s="21"/>
      <c r="F39" s="21"/>
      <c r="G39" s="21"/>
      <c r="H39" s="22"/>
      <c r="I39" s="21">
        <v>100</v>
      </c>
      <c r="J39" s="21" t="s">
        <v>4</v>
      </c>
      <c r="K39" s="32"/>
    </row>
    <row r="40" spans="1:11" x14ac:dyDescent="0.25">
      <c r="A40" s="20" t="s">
        <v>5</v>
      </c>
      <c r="B40" s="21"/>
      <c r="C40" s="21"/>
      <c r="D40" s="21"/>
      <c r="E40" s="21"/>
      <c r="F40" s="21"/>
      <c r="G40" s="21"/>
      <c r="H40" s="22"/>
      <c r="I40" s="21">
        <v>30</v>
      </c>
      <c r="J40" s="21" t="s">
        <v>4</v>
      </c>
      <c r="K40" s="32"/>
    </row>
    <row r="41" spans="1:11" x14ac:dyDescent="0.25">
      <c r="A41" s="23" t="s">
        <v>3</v>
      </c>
      <c r="B41" s="21"/>
      <c r="C41" s="21"/>
      <c r="D41" s="21"/>
      <c r="E41" s="21"/>
      <c r="F41" s="21"/>
      <c r="G41" s="21"/>
      <c r="H41" s="22"/>
      <c r="I41" s="21">
        <v>1.5</v>
      </c>
      <c r="J41" s="21" t="s">
        <v>2</v>
      </c>
      <c r="K41" s="32"/>
    </row>
    <row r="42" spans="1:11" x14ac:dyDescent="0.25">
      <c r="A42" s="20" t="s">
        <v>1</v>
      </c>
      <c r="B42" s="21"/>
      <c r="C42" s="21"/>
      <c r="D42" s="21"/>
      <c r="E42" s="21"/>
      <c r="F42" s="21"/>
      <c r="G42" s="21"/>
      <c r="H42" s="22"/>
      <c r="I42" s="21">
        <v>25</v>
      </c>
      <c r="J42" s="21" t="s">
        <v>0</v>
      </c>
      <c r="K42" s="32"/>
    </row>
  </sheetData>
  <mergeCells count="49">
    <mergeCell ref="A1:K1"/>
    <mergeCell ref="A3:A4"/>
    <mergeCell ref="B3:F3"/>
    <mergeCell ref="G3:G4"/>
    <mergeCell ref="H3:H4"/>
    <mergeCell ref="I3:I4"/>
    <mergeCell ref="J3:J4"/>
    <mergeCell ref="K3:K4"/>
    <mergeCell ref="K8:K10"/>
    <mergeCell ref="A5:A7"/>
    <mergeCell ref="G5:G7"/>
    <mergeCell ref="H5:H7"/>
    <mergeCell ref="I5:I7"/>
    <mergeCell ref="J5:J7"/>
    <mergeCell ref="K5:K7"/>
    <mergeCell ref="A8:A10"/>
    <mergeCell ref="G8:G10"/>
    <mergeCell ref="H8:H10"/>
    <mergeCell ref="I8:I10"/>
    <mergeCell ref="J8:J10"/>
    <mergeCell ref="K14:K16"/>
    <mergeCell ref="A11:A13"/>
    <mergeCell ref="G11:G13"/>
    <mergeCell ref="H11:H13"/>
    <mergeCell ref="I11:I13"/>
    <mergeCell ref="J11:J13"/>
    <mergeCell ref="K11:K13"/>
    <mergeCell ref="J17:J21"/>
    <mergeCell ref="A14:A16"/>
    <mergeCell ref="G14:G16"/>
    <mergeCell ref="H14:H16"/>
    <mergeCell ref="I14:I16"/>
    <mergeCell ref="J14:J16"/>
    <mergeCell ref="A17:A21"/>
    <mergeCell ref="B17:B21"/>
    <mergeCell ref="G17:G21"/>
    <mergeCell ref="H17:H21"/>
    <mergeCell ref="I17:I21"/>
    <mergeCell ref="I33:I34"/>
    <mergeCell ref="J33:J34"/>
    <mergeCell ref="A22:H22"/>
    <mergeCell ref="A23:A27"/>
    <mergeCell ref="A28:H28"/>
    <mergeCell ref="A29:H29"/>
    <mergeCell ref="A31:H31"/>
    <mergeCell ref="A33:A34"/>
    <mergeCell ref="B33:F33"/>
    <mergeCell ref="G33:G34"/>
    <mergeCell ref="H33:H34"/>
  </mergeCells>
  <pageMargins left="0.19685039370078741" right="0" top="0.78740157480314965" bottom="0" header="0.31496062992125984" footer="0.31496062992125984"/>
  <pageSetup paperSize="9" scale="9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FFFF"/>
  </sheetPr>
  <dimension ref="A1:S36"/>
  <sheetViews>
    <sheetView workbookViewId="0">
      <selection activeCell="I23" sqref="I23"/>
    </sheetView>
  </sheetViews>
  <sheetFormatPr defaultRowHeight="15" x14ac:dyDescent="0.25"/>
  <cols>
    <col min="1" max="1" width="11.140625" style="2" customWidth="1"/>
    <col min="2" max="2" width="13.7109375" customWidth="1"/>
    <col min="3" max="3" width="12.5703125" bestFit="1" customWidth="1"/>
    <col min="4" max="4" width="5.42578125" bestFit="1" customWidth="1"/>
    <col min="5" max="5" width="10.42578125" bestFit="1" customWidth="1"/>
    <col min="6" max="6" width="9.42578125" bestFit="1" customWidth="1"/>
    <col min="7" max="7" width="9.5703125" bestFit="1" customWidth="1"/>
    <col min="8" max="8" width="3.42578125" style="1" bestFit="1" customWidth="1"/>
    <col min="9" max="9" width="12" bestFit="1" customWidth="1"/>
    <col min="10" max="10" width="11" bestFit="1" customWidth="1"/>
    <col min="11" max="11" width="5" customWidth="1"/>
    <col min="12" max="12" width="13.42578125" customWidth="1"/>
  </cols>
  <sheetData>
    <row r="1" spans="1:19" ht="42" customHeight="1" x14ac:dyDescent="0.25">
      <c r="A1" s="68" t="s">
        <v>68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9" ht="15.75" x14ac:dyDescent="0.25">
      <c r="A2" s="52"/>
      <c r="B2" s="52"/>
      <c r="C2" s="52"/>
      <c r="D2" s="52"/>
      <c r="E2" s="52"/>
      <c r="F2" s="52"/>
      <c r="G2" s="52"/>
      <c r="H2" s="52"/>
      <c r="I2" s="52"/>
      <c r="J2" s="53"/>
      <c r="K2" s="53"/>
    </row>
    <row r="3" spans="1:19" x14ac:dyDescent="0.25">
      <c r="A3" s="70" t="s">
        <v>19</v>
      </c>
      <c r="B3" s="71" t="s">
        <v>18</v>
      </c>
      <c r="C3" s="72"/>
      <c r="D3" s="72"/>
      <c r="E3" s="72"/>
      <c r="F3" s="73"/>
      <c r="G3" s="74" t="s">
        <v>17</v>
      </c>
      <c r="H3" s="74" t="s">
        <v>13</v>
      </c>
      <c r="I3" s="74" t="s">
        <v>16</v>
      </c>
      <c r="J3" s="75" t="s">
        <v>64</v>
      </c>
      <c r="K3" s="75" t="s">
        <v>56</v>
      </c>
      <c r="L3" s="19"/>
      <c r="M3" s="19"/>
      <c r="N3" s="19"/>
      <c r="O3" s="19"/>
      <c r="P3" s="19"/>
      <c r="Q3" s="19"/>
      <c r="R3" s="19"/>
      <c r="S3" s="19"/>
    </row>
    <row r="4" spans="1:19" x14ac:dyDescent="0.25">
      <c r="A4" s="70"/>
      <c r="B4" s="8" t="s">
        <v>15</v>
      </c>
      <c r="C4" s="8" t="s">
        <v>14</v>
      </c>
      <c r="D4" s="8" t="s">
        <v>13</v>
      </c>
      <c r="E4" s="8" t="s">
        <v>55</v>
      </c>
      <c r="F4" s="8" t="s">
        <v>11</v>
      </c>
      <c r="G4" s="74"/>
      <c r="H4" s="74"/>
      <c r="I4" s="74"/>
      <c r="J4" s="76"/>
      <c r="K4" s="76"/>
      <c r="L4" s="19"/>
      <c r="M4" s="19"/>
      <c r="N4" s="19"/>
      <c r="O4" s="19"/>
      <c r="P4" s="19"/>
      <c r="Q4" s="19"/>
      <c r="R4" s="19"/>
      <c r="S4" s="19"/>
    </row>
    <row r="5" spans="1:19" x14ac:dyDescent="0.25">
      <c r="A5" s="77" t="s">
        <v>54</v>
      </c>
      <c r="B5" s="16" t="s">
        <v>43</v>
      </c>
      <c r="C5" s="16" t="s">
        <v>42</v>
      </c>
      <c r="D5" s="65">
        <v>8</v>
      </c>
      <c r="E5" s="15">
        <v>500</v>
      </c>
      <c r="F5" s="15">
        <f t="shared" ref="F5:F14" si="0">D5*E5</f>
        <v>4000</v>
      </c>
      <c r="G5" s="79">
        <f>SUM(F5:F7)</f>
        <v>5230</v>
      </c>
      <c r="H5" s="81">
        <v>1</v>
      </c>
      <c r="I5" s="83">
        <f>G5*H5</f>
        <v>5230</v>
      </c>
      <c r="J5" s="80">
        <f>I5/4</f>
        <v>1307.5</v>
      </c>
      <c r="K5" s="86">
        <v>1</v>
      </c>
      <c r="N5" t="s">
        <v>53</v>
      </c>
      <c r="R5">
        <v>3</v>
      </c>
    </row>
    <row r="6" spans="1:19" x14ac:dyDescent="0.25">
      <c r="A6" s="77"/>
      <c r="B6" s="16" t="s">
        <v>41</v>
      </c>
      <c r="C6" s="16" t="s">
        <v>40</v>
      </c>
      <c r="D6" s="65">
        <v>3</v>
      </c>
      <c r="E6" s="15">
        <v>250</v>
      </c>
      <c r="F6" s="15">
        <f t="shared" si="0"/>
        <v>750</v>
      </c>
      <c r="G6" s="79"/>
      <c r="H6" s="81"/>
      <c r="I6" s="84"/>
      <c r="J6" s="85"/>
      <c r="K6" s="87"/>
      <c r="N6" t="s">
        <v>52</v>
      </c>
      <c r="R6">
        <v>2</v>
      </c>
    </row>
    <row r="7" spans="1:19" x14ac:dyDescent="0.25">
      <c r="A7" s="77"/>
      <c r="B7" s="16" t="s">
        <v>37</v>
      </c>
      <c r="C7" s="16" t="s">
        <v>36</v>
      </c>
      <c r="D7" s="4">
        <v>60</v>
      </c>
      <c r="E7" s="15">
        <v>8</v>
      </c>
      <c r="F7" s="15">
        <f t="shared" si="0"/>
        <v>480</v>
      </c>
      <c r="G7" s="79"/>
      <c r="H7" s="81"/>
      <c r="I7" s="84"/>
      <c r="J7" s="85"/>
      <c r="K7" s="88"/>
      <c r="N7" t="s">
        <v>51</v>
      </c>
      <c r="R7">
        <v>6</v>
      </c>
    </row>
    <row r="8" spans="1:19" x14ac:dyDescent="0.25">
      <c r="A8" s="77" t="s">
        <v>50</v>
      </c>
      <c r="B8" s="16" t="s">
        <v>43</v>
      </c>
      <c r="C8" s="16" t="s">
        <v>42</v>
      </c>
      <c r="D8" s="65">
        <v>8</v>
      </c>
      <c r="E8" s="15">
        <v>500</v>
      </c>
      <c r="F8" s="15">
        <f t="shared" si="0"/>
        <v>4000</v>
      </c>
      <c r="G8" s="79">
        <f>SUM(F8:F10)</f>
        <v>5230</v>
      </c>
      <c r="H8" s="81">
        <v>1</v>
      </c>
      <c r="I8" s="83">
        <f>G8*H8</f>
        <v>5230</v>
      </c>
      <c r="J8" s="80">
        <f>I8/4</f>
        <v>1307.5</v>
      </c>
      <c r="K8" s="86">
        <v>1</v>
      </c>
      <c r="N8" t="s">
        <v>49</v>
      </c>
      <c r="R8" t="s">
        <v>48</v>
      </c>
    </row>
    <row r="9" spans="1:19" x14ac:dyDescent="0.25">
      <c r="A9" s="77"/>
      <c r="B9" s="16" t="s">
        <v>41</v>
      </c>
      <c r="C9" s="16" t="s">
        <v>40</v>
      </c>
      <c r="D9" s="65">
        <v>3</v>
      </c>
      <c r="E9" s="15">
        <v>250</v>
      </c>
      <c r="F9" s="15">
        <f t="shared" si="0"/>
        <v>750</v>
      </c>
      <c r="G9" s="79"/>
      <c r="H9" s="81"/>
      <c r="I9" s="84"/>
      <c r="J9" s="85"/>
      <c r="K9" s="87"/>
    </row>
    <row r="10" spans="1:19" x14ac:dyDescent="0.25">
      <c r="A10" s="78"/>
      <c r="B10" s="18" t="s">
        <v>37</v>
      </c>
      <c r="C10" s="18" t="s">
        <v>36</v>
      </c>
      <c r="D10" s="62">
        <v>60</v>
      </c>
      <c r="E10" s="17">
        <v>8</v>
      </c>
      <c r="F10" s="17">
        <f t="shared" si="0"/>
        <v>480</v>
      </c>
      <c r="G10" s="80"/>
      <c r="H10" s="82"/>
      <c r="I10" s="84"/>
      <c r="J10" s="85"/>
      <c r="K10" s="88"/>
      <c r="N10" t="s">
        <v>46</v>
      </c>
      <c r="R10">
        <f>R7*R6*R5</f>
        <v>36</v>
      </c>
    </row>
    <row r="11" spans="1:19" x14ac:dyDescent="0.25">
      <c r="A11" s="100" t="s">
        <v>38</v>
      </c>
      <c r="B11" s="103" t="s">
        <v>37</v>
      </c>
      <c r="C11" s="7" t="s">
        <v>36</v>
      </c>
      <c r="D11" s="4">
        <v>10</v>
      </c>
      <c r="E11" s="6">
        <v>8</v>
      </c>
      <c r="F11" s="15">
        <f t="shared" si="0"/>
        <v>80</v>
      </c>
      <c r="G11" s="93">
        <f>SUM(F11:F15)</f>
        <v>1580</v>
      </c>
      <c r="H11" s="82">
        <v>1</v>
      </c>
      <c r="I11" s="90">
        <f>G11*H11</f>
        <v>1580</v>
      </c>
      <c r="J11" s="93">
        <f>I11/4</f>
        <v>395</v>
      </c>
      <c r="K11" s="58"/>
      <c r="N11" t="s">
        <v>46</v>
      </c>
      <c r="R11">
        <v>180</v>
      </c>
      <c r="S11" t="s">
        <v>45</v>
      </c>
    </row>
    <row r="12" spans="1:19" x14ac:dyDescent="0.25">
      <c r="A12" s="101"/>
      <c r="B12" s="104"/>
      <c r="C12" s="7" t="s">
        <v>34</v>
      </c>
      <c r="D12" s="4">
        <v>100</v>
      </c>
      <c r="E12" s="6">
        <v>4</v>
      </c>
      <c r="F12" s="15">
        <f t="shared" si="0"/>
        <v>400</v>
      </c>
      <c r="G12" s="94"/>
      <c r="H12" s="106"/>
      <c r="I12" s="91"/>
      <c r="J12" s="94"/>
      <c r="K12" s="59"/>
    </row>
    <row r="13" spans="1:19" x14ac:dyDescent="0.25">
      <c r="A13" s="101"/>
      <c r="B13" s="104"/>
      <c r="C13" s="7" t="s">
        <v>32</v>
      </c>
      <c r="D13" s="4">
        <v>100</v>
      </c>
      <c r="E13" s="6">
        <v>1</v>
      </c>
      <c r="F13" s="15">
        <f t="shared" si="0"/>
        <v>100</v>
      </c>
      <c r="G13" s="94"/>
      <c r="H13" s="106"/>
      <c r="I13" s="91"/>
      <c r="J13" s="94"/>
      <c r="K13" s="59"/>
      <c r="N13" t="s">
        <v>39</v>
      </c>
    </row>
    <row r="14" spans="1:19" x14ac:dyDescent="0.25">
      <c r="A14" s="101"/>
      <c r="B14" s="104"/>
      <c r="C14" s="7" t="s">
        <v>31</v>
      </c>
      <c r="D14" s="4">
        <v>500</v>
      </c>
      <c r="E14" s="6">
        <v>2</v>
      </c>
      <c r="F14" s="15">
        <f t="shared" si="0"/>
        <v>1000</v>
      </c>
      <c r="G14" s="94"/>
      <c r="H14" s="106"/>
      <c r="I14" s="91"/>
      <c r="J14" s="94"/>
      <c r="K14" s="59"/>
      <c r="N14" t="s">
        <v>35</v>
      </c>
    </row>
    <row r="15" spans="1:19" x14ac:dyDescent="0.25">
      <c r="A15" s="102"/>
      <c r="B15" s="105"/>
      <c r="C15" s="7"/>
      <c r="D15" s="16"/>
      <c r="E15" s="6"/>
      <c r="F15" s="15"/>
      <c r="G15" s="95"/>
      <c r="H15" s="107"/>
      <c r="I15" s="92"/>
      <c r="J15" s="95"/>
      <c r="K15" s="60"/>
      <c r="N15" t="s">
        <v>33</v>
      </c>
    </row>
    <row r="16" spans="1:19" x14ac:dyDescent="0.25">
      <c r="A16" s="97" t="s">
        <v>59</v>
      </c>
      <c r="B16" s="98"/>
      <c r="C16" s="98"/>
      <c r="D16" s="98"/>
      <c r="E16" s="98"/>
      <c r="F16" s="98"/>
      <c r="G16" s="98"/>
      <c r="H16" s="99"/>
      <c r="I16" s="46">
        <f>SUM(I5:I15)</f>
        <v>12040</v>
      </c>
      <c r="J16" s="57">
        <f>SUM(J5:J15)</f>
        <v>3010</v>
      </c>
      <c r="K16" s="50"/>
      <c r="L16" s="45"/>
      <c r="N16" t="s">
        <v>30</v>
      </c>
    </row>
    <row r="17" spans="1:19" x14ac:dyDescent="0.25">
      <c r="A17" s="100" t="s">
        <v>29</v>
      </c>
      <c r="B17" s="37" t="s">
        <v>26</v>
      </c>
      <c r="C17" s="37" t="s">
        <v>23</v>
      </c>
      <c r="D17" s="38">
        <v>1</v>
      </c>
      <c r="E17" s="39">
        <v>6264</v>
      </c>
      <c r="F17" s="40">
        <f t="shared" ref="F17:F24" si="1">E17*D17</f>
        <v>6264</v>
      </c>
      <c r="G17" s="40">
        <f t="shared" ref="G17:G24" si="2">F17</f>
        <v>6264</v>
      </c>
      <c r="H17" s="65">
        <f>H8</f>
        <v>1</v>
      </c>
      <c r="I17" s="64">
        <f>G17*H17</f>
        <v>6264</v>
      </c>
      <c r="J17" s="40">
        <f t="shared" ref="J17:J24" si="3">I17/4</f>
        <v>1566</v>
      </c>
      <c r="K17" s="42"/>
      <c r="N17" t="s">
        <v>30</v>
      </c>
    </row>
    <row r="18" spans="1:19" x14ac:dyDescent="0.25">
      <c r="A18" s="101"/>
      <c r="B18" s="37" t="s">
        <v>26</v>
      </c>
      <c r="C18" s="37" t="s">
        <v>28</v>
      </c>
      <c r="D18" s="38">
        <v>0</v>
      </c>
      <c r="E18" s="39">
        <v>26108</v>
      </c>
      <c r="F18" s="40">
        <f t="shared" si="1"/>
        <v>0</v>
      </c>
      <c r="G18" s="40">
        <f t="shared" si="2"/>
        <v>0</v>
      </c>
      <c r="H18" s="41">
        <v>0</v>
      </c>
      <c r="I18" s="64">
        <f>G18*H18</f>
        <v>0</v>
      </c>
      <c r="J18" s="40">
        <f t="shared" si="3"/>
        <v>0</v>
      </c>
      <c r="K18" s="42"/>
    </row>
    <row r="19" spans="1:19" x14ac:dyDescent="0.25">
      <c r="A19" s="101"/>
      <c r="B19" s="37" t="s">
        <v>26</v>
      </c>
      <c r="C19" s="37" t="s">
        <v>27</v>
      </c>
      <c r="D19" s="38">
        <v>1</v>
      </c>
      <c r="E19" s="39">
        <v>44.36</v>
      </c>
      <c r="F19" s="40">
        <f t="shared" si="1"/>
        <v>44.36</v>
      </c>
      <c r="G19" s="40">
        <f t="shared" si="2"/>
        <v>44.36</v>
      </c>
      <c r="H19" s="41">
        <v>0</v>
      </c>
      <c r="I19" s="64">
        <f>G19*H19</f>
        <v>0</v>
      </c>
      <c r="J19" s="40">
        <f t="shared" si="3"/>
        <v>0</v>
      </c>
      <c r="K19" s="42"/>
    </row>
    <row r="20" spans="1:19" x14ac:dyDescent="0.25">
      <c r="A20" s="101"/>
      <c r="B20" s="37" t="s">
        <v>26</v>
      </c>
      <c r="C20" s="37" t="s">
        <v>25</v>
      </c>
      <c r="D20" s="38">
        <v>0</v>
      </c>
      <c r="E20" s="39">
        <v>942.99</v>
      </c>
      <c r="F20" s="40">
        <f t="shared" si="1"/>
        <v>0</v>
      </c>
      <c r="G20" s="40">
        <f t="shared" si="2"/>
        <v>0</v>
      </c>
      <c r="H20" s="41">
        <v>0</v>
      </c>
      <c r="I20" s="64">
        <f>G20 + (H20*160)</f>
        <v>0</v>
      </c>
      <c r="J20" s="40">
        <f t="shared" si="3"/>
        <v>0</v>
      </c>
      <c r="K20" s="42"/>
    </row>
    <row r="21" spans="1:19" x14ac:dyDescent="0.25">
      <c r="A21" s="102"/>
      <c r="B21" s="37" t="s">
        <v>24</v>
      </c>
      <c r="C21" s="38" t="s">
        <v>23</v>
      </c>
      <c r="D21" s="38">
        <v>0</v>
      </c>
      <c r="E21" s="43">
        <v>0</v>
      </c>
      <c r="F21" s="40">
        <f t="shared" si="1"/>
        <v>0</v>
      </c>
      <c r="G21" s="40">
        <f t="shared" si="2"/>
        <v>0</v>
      </c>
      <c r="H21" s="65">
        <f>H5+H8</f>
        <v>2</v>
      </c>
      <c r="I21" s="64">
        <f>G21*H21</f>
        <v>0</v>
      </c>
      <c r="J21" s="40">
        <f t="shared" si="3"/>
        <v>0</v>
      </c>
      <c r="K21" s="42"/>
    </row>
    <row r="22" spans="1:19" x14ac:dyDescent="0.25">
      <c r="A22" s="97" t="s">
        <v>60</v>
      </c>
      <c r="B22" s="98"/>
      <c r="C22" s="98"/>
      <c r="D22" s="98"/>
      <c r="E22" s="98"/>
      <c r="F22" s="98"/>
      <c r="G22" s="98"/>
      <c r="H22" s="99"/>
      <c r="I22" s="46">
        <f>SUM(I17:I21)</f>
        <v>6264</v>
      </c>
      <c r="J22" s="49"/>
      <c r="K22" s="50"/>
      <c r="L22" s="45"/>
      <c r="M22" s="45"/>
      <c r="N22" t="s">
        <v>67</v>
      </c>
      <c r="O22" s="45"/>
      <c r="P22" s="45"/>
      <c r="Q22" s="45"/>
      <c r="R22" s="45"/>
      <c r="S22" s="45"/>
    </row>
    <row r="23" spans="1:19" x14ac:dyDescent="0.25">
      <c r="A23" s="108" t="s">
        <v>62</v>
      </c>
      <c r="B23" s="109"/>
      <c r="C23" s="109"/>
      <c r="D23" s="109"/>
      <c r="E23" s="109"/>
      <c r="F23" s="109"/>
      <c r="G23" s="109"/>
      <c r="H23" s="110"/>
      <c r="I23" s="54">
        <f>SUM(I5:I5:I15)+SUM(I17:I21)</f>
        <v>18304</v>
      </c>
      <c r="J23" s="55">
        <f>I23/4</f>
        <v>4576</v>
      </c>
      <c r="K23" s="56">
        <f ca="1">SUM(K5:K24)</f>
        <v>4</v>
      </c>
      <c r="L23" s="45"/>
      <c r="N23" t="s">
        <v>66</v>
      </c>
      <c r="O23" s="45"/>
    </row>
    <row r="24" spans="1:19" ht="48" x14ac:dyDescent="0.25">
      <c r="A24" s="44" t="s">
        <v>22</v>
      </c>
      <c r="B24" s="14" t="s">
        <v>21</v>
      </c>
      <c r="C24" s="14" t="s">
        <v>20</v>
      </c>
      <c r="D24" s="13">
        <f>SUM(H5:H10)</f>
        <v>2</v>
      </c>
      <c r="E24" s="13">
        <v>100</v>
      </c>
      <c r="F24" s="11">
        <f t="shared" si="1"/>
        <v>200</v>
      </c>
      <c r="G24" s="11">
        <f t="shared" si="2"/>
        <v>200</v>
      </c>
      <c r="H24" s="61">
        <v>1</v>
      </c>
      <c r="I24" s="11">
        <f>G24*H24</f>
        <v>200</v>
      </c>
      <c r="J24" s="11">
        <f t="shared" si="3"/>
        <v>50</v>
      </c>
      <c r="K24" s="36"/>
      <c r="L24" s="10"/>
    </row>
    <row r="25" spans="1:19" x14ac:dyDescent="0.25">
      <c r="A25" s="97" t="s">
        <v>61</v>
      </c>
      <c r="B25" s="98"/>
      <c r="C25" s="98"/>
      <c r="D25" s="98"/>
      <c r="E25" s="98"/>
      <c r="F25" s="98"/>
      <c r="G25" s="98"/>
      <c r="H25" s="99"/>
      <c r="I25" s="46">
        <f>I24</f>
        <v>200</v>
      </c>
      <c r="J25" s="47"/>
      <c r="K25" s="48"/>
      <c r="L25" s="45"/>
    </row>
    <row r="26" spans="1:19" x14ac:dyDescent="0.25">
      <c r="A26" s="9"/>
      <c r="N26" t="s">
        <v>66</v>
      </c>
    </row>
    <row r="27" spans="1:19" x14ac:dyDescent="0.25">
      <c r="A27" s="70" t="s">
        <v>63</v>
      </c>
      <c r="B27" s="71" t="s">
        <v>18</v>
      </c>
      <c r="C27" s="72"/>
      <c r="D27" s="72"/>
      <c r="E27" s="72"/>
      <c r="F27" s="73"/>
      <c r="G27" s="74" t="s">
        <v>17</v>
      </c>
      <c r="H27" s="74" t="s">
        <v>13</v>
      </c>
      <c r="I27" s="74" t="s">
        <v>16</v>
      </c>
      <c r="J27" s="75" t="s">
        <v>64</v>
      </c>
      <c r="K27" s="30"/>
    </row>
    <row r="28" spans="1:19" x14ac:dyDescent="0.25">
      <c r="A28" s="70"/>
      <c r="B28" s="8" t="s">
        <v>15</v>
      </c>
      <c r="C28" s="8" t="s">
        <v>14</v>
      </c>
      <c r="D28" s="8" t="s">
        <v>13</v>
      </c>
      <c r="E28" s="8" t="s">
        <v>12</v>
      </c>
      <c r="F28" s="8" t="s">
        <v>11</v>
      </c>
      <c r="G28" s="74"/>
      <c r="H28" s="74"/>
      <c r="I28" s="74"/>
      <c r="J28" s="76"/>
      <c r="K28" s="30"/>
      <c r="M28" s="45"/>
      <c r="N28" s="45"/>
      <c r="O28" s="45"/>
      <c r="P28" s="45"/>
      <c r="Q28" s="45"/>
      <c r="R28" s="45"/>
      <c r="S28" s="45"/>
    </row>
    <row r="29" spans="1:19" x14ac:dyDescent="0.25">
      <c r="A29" s="51" t="s">
        <v>10</v>
      </c>
      <c r="B29" s="37" t="s">
        <v>9</v>
      </c>
      <c r="C29" s="7" t="s">
        <v>8</v>
      </c>
      <c r="D29" s="7">
        <f>((I34*I35*1000000*8)/256000)/I36</f>
        <v>56.25</v>
      </c>
      <c r="E29" s="6">
        <v>75</v>
      </c>
      <c r="F29" s="5">
        <f>D29*E29</f>
        <v>4218.75</v>
      </c>
      <c r="G29" s="3">
        <f>F29</f>
        <v>4218.75</v>
      </c>
      <c r="H29" s="4">
        <v>1</v>
      </c>
      <c r="I29" s="3">
        <f>G29*H29</f>
        <v>4218.75</v>
      </c>
      <c r="J29" s="3">
        <f>H29*I29</f>
        <v>4218.75</v>
      </c>
      <c r="K29" s="31"/>
      <c r="M29" s="45"/>
      <c r="N29" s="45"/>
      <c r="O29" s="45"/>
      <c r="P29" s="45"/>
      <c r="Q29" s="45"/>
      <c r="R29" s="45"/>
      <c r="S29" s="45"/>
    </row>
    <row r="30" spans="1:19" x14ac:dyDescent="0.25">
      <c r="A30" s="51" t="s">
        <v>57</v>
      </c>
      <c r="B30" s="37" t="s">
        <v>58</v>
      </c>
      <c r="C30" s="7"/>
      <c r="D30" s="7"/>
      <c r="E30" s="6"/>
      <c r="F30" s="5"/>
      <c r="G30" s="3"/>
      <c r="H30" s="4">
        <v>4</v>
      </c>
      <c r="I30" s="3"/>
      <c r="J30" s="3"/>
      <c r="K30" s="27"/>
      <c r="M30" s="10"/>
      <c r="N30" s="10" t="s">
        <v>65</v>
      </c>
      <c r="O30" s="10"/>
      <c r="P30" s="10"/>
      <c r="Q30" s="10"/>
      <c r="R30" s="10"/>
      <c r="S30" s="10"/>
    </row>
    <row r="31" spans="1:19" x14ac:dyDescent="0.25">
      <c r="A31" s="24"/>
      <c r="B31" s="25"/>
      <c r="C31" s="25"/>
      <c r="D31" s="25"/>
      <c r="E31" s="26"/>
      <c r="F31" s="27"/>
      <c r="G31" s="28"/>
      <c r="H31" s="29"/>
      <c r="I31" s="28"/>
      <c r="J31" s="28"/>
      <c r="K31" s="27"/>
      <c r="M31" s="45"/>
      <c r="N31" s="45"/>
      <c r="O31" s="45"/>
      <c r="P31" s="45"/>
      <c r="Q31" s="45"/>
      <c r="R31" s="45"/>
      <c r="S31" s="45"/>
    </row>
    <row r="32" spans="1:19" x14ac:dyDescent="0.25">
      <c r="A32" s="20" t="s">
        <v>7</v>
      </c>
      <c r="B32" s="21"/>
      <c r="C32" s="21"/>
      <c r="D32" s="21"/>
      <c r="E32" s="21"/>
      <c r="F32" s="21"/>
      <c r="G32" s="21"/>
      <c r="H32" s="22"/>
      <c r="I32" s="21">
        <v>200</v>
      </c>
      <c r="J32" s="21" t="s">
        <v>4</v>
      </c>
      <c r="K32" s="32"/>
    </row>
    <row r="33" spans="1:11" x14ac:dyDescent="0.25">
      <c r="A33" s="20" t="s">
        <v>6</v>
      </c>
      <c r="B33" s="21"/>
      <c r="C33" s="21"/>
      <c r="D33" s="21"/>
      <c r="E33" s="21"/>
      <c r="F33" s="21"/>
      <c r="G33" s="21"/>
      <c r="H33" s="22"/>
      <c r="I33" s="21">
        <v>100</v>
      </c>
      <c r="J33" s="21" t="s">
        <v>4</v>
      </c>
      <c r="K33" s="32"/>
    </row>
    <row r="34" spans="1:11" x14ac:dyDescent="0.25">
      <c r="A34" s="20" t="s">
        <v>5</v>
      </c>
      <c r="B34" s="21"/>
      <c r="C34" s="21"/>
      <c r="D34" s="21"/>
      <c r="E34" s="21"/>
      <c r="F34" s="21"/>
      <c r="G34" s="21"/>
      <c r="H34" s="22"/>
      <c r="I34" s="21">
        <v>30</v>
      </c>
      <c r="J34" s="21" t="s">
        <v>4</v>
      </c>
      <c r="K34" s="32"/>
    </row>
    <row r="35" spans="1:11" x14ac:dyDescent="0.25">
      <c r="A35" s="23" t="s">
        <v>3</v>
      </c>
      <c r="B35" s="21"/>
      <c r="C35" s="21"/>
      <c r="D35" s="21"/>
      <c r="E35" s="21"/>
      <c r="F35" s="21"/>
      <c r="G35" s="21"/>
      <c r="H35" s="22"/>
      <c r="I35" s="21">
        <v>1.5</v>
      </c>
      <c r="J35" s="21" t="s">
        <v>2</v>
      </c>
      <c r="K35" s="32"/>
    </row>
    <row r="36" spans="1:11" x14ac:dyDescent="0.25">
      <c r="A36" s="20" t="s">
        <v>1</v>
      </c>
      <c r="B36" s="21"/>
      <c r="C36" s="21"/>
      <c r="D36" s="21"/>
      <c r="E36" s="21"/>
      <c r="F36" s="21"/>
      <c r="G36" s="21"/>
      <c r="H36" s="22"/>
      <c r="I36" s="21">
        <v>25</v>
      </c>
      <c r="J36" s="21" t="s">
        <v>0</v>
      </c>
      <c r="K36" s="32"/>
    </row>
  </sheetData>
  <mergeCells count="37">
    <mergeCell ref="A1:K1"/>
    <mergeCell ref="A3:A4"/>
    <mergeCell ref="B3:F3"/>
    <mergeCell ref="G3:G4"/>
    <mergeCell ref="H3:H4"/>
    <mergeCell ref="I3:I4"/>
    <mergeCell ref="J3:J4"/>
    <mergeCell ref="K3:K4"/>
    <mergeCell ref="K8:K10"/>
    <mergeCell ref="A5:A7"/>
    <mergeCell ref="G5:G7"/>
    <mergeCell ref="H5:H7"/>
    <mergeCell ref="I5:I7"/>
    <mergeCell ref="J5:J7"/>
    <mergeCell ref="K5:K7"/>
    <mergeCell ref="J11:J15"/>
    <mergeCell ref="A8:A10"/>
    <mergeCell ref="G8:G10"/>
    <mergeCell ref="H8:H10"/>
    <mergeCell ref="I8:I10"/>
    <mergeCell ref="J8:J10"/>
    <mergeCell ref="A11:A15"/>
    <mergeCell ref="B11:B15"/>
    <mergeCell ref="G11:G15"/>
    <mergeCell ref="H11:H15"/>
    <mergeCell ref="I11:I15"/>
    <mergeCell ref="I27:I28"/>
    <mergeCell ref="J27:J28"/>
    <mergeCell ref="A16:H16"/>
    <mergeCell ref="A17:A21"/>
    <mergeCell ref="A22:H22"/>
    <mergeCell ref="A23:H23"/>
    <mergeCell ref="A25:H25"/>
    <mergeCell ref="A27:A28"/>
    <mergeCell ref="B27:F27"/>
    <mergeCell ref="G27:G28"/>
    <mergeCell ref="H27:H28"/>
  </mergeCells>
  <pageMargins left="0.19685039370078741" right="0" top="0.78740157480314965" bottom="0" header="0.31496062992125984" footer="0.31496062992125984"/>
  <pageSetup paperSize="9" scale="9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infra for e-SMP</vt:lpstr>
      <vt:lpstr>infra for IMapp + dev. servers</vt:lpstr>
      <vt:lpstr>infra for MSapp</vt:lpstr>
      <vt:lpstr>'infra for e-SMP'!Print_Area</vt:lpstr>
      <vt:lpstr>'infra for IMapp + dev. servers'!Print_Area</vt:lpstr>
      <vt:lpstr>'infra for MSapp'!Print_Area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Anh</dc:creator>
  <cp:lastModifiedBy>Corinne Casagrande</cp:lastModifiedBy>
  <cp:lastPrinted>2013-07-23T16:17:16Z</cp:lastPrinted>
  <dcterms:created xsi:type="dcterms:W3CDTF">2011-09-16T11:57:11Z</dcterms:created>
  <dcterms:modified xsi:type="dcterms:W3CDTF">2013-07-24T08:10:36Z</dcterms:modified>
</cp:coreProperties>
</file>