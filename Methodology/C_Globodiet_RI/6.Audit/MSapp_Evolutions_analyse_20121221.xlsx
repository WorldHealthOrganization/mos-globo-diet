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7315" windowHeight="13290"/>
  </bookViews>
  <sheets>
    <sheet name="Liste" sheetId="1" r:id="rId1"/>
  </sheets>
  <externalReferences>
    <externalReference r:id="rId2"/>
    <externalReference r:id="rId3"/>
  </externalReferences>
  <definedNames>
    <definedName name="ACT_CLOSED">#REF!</definedName>
    <definedName name="ACT_FINISHED">#REF!</definedName>
    <definedName name="ACT_OPEN">#REF!</definedName>
    <definedName name="ACT_TASK">#REF!</definedName>
    <definedName name="ACT_WIP">#REF!</definedName>
    <definedName name="CI_ACCEPTED">#REF!</definedName>
    <definedName name="CI_APPROVED">#REF!</definedName>
    <definedName name="CI_CANCELLED">#REF!</definedName>
    <definedName name="CI_DOCUMENTED">#REF!</definedName>
    <definedName name="CI_REVIEWED">#REF!</definedName>
    <definedName name="CI_STATUS">#REF!</definedName>
    <definedName name="CI_WIP">#REF!</definedName>
    <definedName name="DATE_LIV_ACTUELLE">[1]Estimation!#REF!</definedName>
    <definedName name="DES_ACCEPTED">#REF!</definedName>
    <definedName name="DES_APPROVED">#REF!</definedName>
    <definedName name="DES_CANCELLED">#REF!</definedName>
    <definedName name="DES_REVIEWED">#REF!</definedName>
    <definedName name="DES_STATUS">#REF!</definedName>
    <definedName name="DES_WIP">#REF!</definedName>
    <definedName name="Dont_16_8__de_chef_d_équipe">#REF!</definedName>
    <definedName name="IMP_ACCEPTED">#REF!</definedName>
    <definedName name="IMP_CANCELLED">#REF!</definedName>
    <definedName name="IMP_CODED">#REF!</definedName>
    <definedName name="IMP_REVIEWED">#REF!</definedName>
    <definedName name="IMP_STATUS">#REF!</definedName>
    <definedName name="IMP_TESTFAILED">#REF!</definedName>
    <definedName name="IMP_TESTPASSED">#REF!</definedName>
    <definedName name="IMP_WIP">#REF!</definedName>
    <definedName name="INCI_ACCEPTED">#REF!</definedName>
    <definedName name="INCI_CLOSED">#REF!</definedName>
    <definedName name="INCI_FORCED">#REF!</definedName>
    <definedName name="INCI_OPEN">#REF!</definedName>
    <definedName name="INCI_REJECTED">#REF!</definedName>
    <definedName name="INCI_STATUS">#REF!</definedName>
    <definedName name="INCI_WIP">#REF!</definedName>
    <definedName name="Incident_status">[2]Références!$A$85:$A$87</definedName>
    <definedName name="LASTWEEK">#REF!</definedName>
    <definedName name="List_Incident_Status">#REF!</definedName>
    <definedName name="ListActStatus">#REF!</definedName>
    <definedName name="ListCIStatus">#REF!</definedName>
    <definedName name="ListDesOrigine">#REF!</definedName>
    <definedName name="ListDesStatus">#REF!</definedName>
    <definedName name="ListDocCategories">#REF!</definedName>
    <definedName name="ListImpOrigine">#REF!</definedName>
    <definedName name="ListImpStatus">#REF!</definedName>
    <definedName name="ListMember">#REF!</definedName>
    <definedName name="ListProbStatus">#REF!</definedName>
    <definedName name="ListProbType">#REF!</definedName>
    <definedName name="ListProcessStatus">#REF!</definedName>
    <definedName name="ListProcessType">#REF!</definedName>
    <definedName name="ListProjectFullname">#REF!</definedName>
    <definedName name="ListProjectLifeCycle">#REF!</definedName>
    <definedName name="ListProjectType">#REF!</definedName>
    <definedName name="ListProjRole">#REF!</definedName>
    <definedName name="ListQAPriority">#REF!</definedName>
    <definedName name="ListQAStatus">#REF!</definedName>
    <definedName name="ListReqOrigine">#REF!</definedName>
    <definedName name="ListReqStatus">#REF!</definedName>
    <definedName name="ListRiskStatus">#REF!</definedName>
    <definedName name="ListRiskType">#REF!</definedName>
    <definedName name="Nb_fichiers">#REF!</definedName>
    <definedName name="Nb_instructions">#REF!</definedName>
    <definedName name="Nb_instructions_TI">#REF!</definedName>
    <definedName name="Nb_instructions_TU">#REF!</definedName>
    <definedName name="Nb_lignes">#REF!</definedName>
    <definedName name="ORG_CHANGED">#REF!</definedName>
    <definedName name="ORG_INIT">#REF!</definedName>
    <definedName name="ORG_SUPPL">#REF!</definedName>
    <definedName name="PB_TYPE_MANAGEMENT">#REF!</definedName>
    <definedName name="PB_TYPE_OTHER">#REF!</definedName>
    <definedName name="PB_TYPE_QUALITY">#REF!</definedName>
    <definedName name="PB_TYPE_TECHNIQUE">#REF!</definedName>
    <definedName name="PROB_ACCEPTED">#REF!</definedName>
    <definedName name="PROB_SOLVED">#REF!</definedName>
    <definedName name="PROB_STATUS">#REF!</definedName>
    <definedName name="PROB_WIP">#REF!</definedName>
    <definedName name="PROC_DESCRIPT">#REF!</definedName>
    <definedName name="PROC_GAP">#REF!</definedName>
    <definedName name="PROC_NC">#REF!</definedName>
    <definedName name="PROC_REMIND">#REF!</definedName>
    <definedName name="PROC_STATUS">#REF!</definedName>
    <definedName name="PROC_STATUS_CLOSED">#REF!</definedName>
    <definedName name="PROC_STATUS_OPEN">#REF!</definedName>
    <definedName name="PROC_STATUS_WIP">#REF!</definedName>
    <definedName name="Production">#REF!</definedName>
    <definedName name="QA_ANSWER">#REF!</definedName>
    <definedName name="QA_ANSWERED">#REF!</definedName>
    <definedName name="QA_CLOSED">#REF!</definedName>
    <definedName name="QA_OPEN">#REF!</definedName>
    <definedName name="QA_PRIO_HI">#REF!</definedName>
    <definedName name="QA_PRIO_LOW">#REF!</definedName>
    <definedName name="QA_PRIO_MED">#REF!</definedName>
    <definedName name="QA_PRIO_URGENT">#REF!</definedName>
    <definedName name="QA_QUESTION">#REF!</definedName>
    <definedName name="QA_STATUS">#REF!</definedName>
    <definedName name="QA_WIP">#REF!</definedName>
    <definedName name="REQ_ACCEPTED">#REF!</definedName>
    <definedName name="REQ_APPROVED">#REF!</definedName>
    <definedName name="REQ_CANCELLED">#REF!</definedName>
    <definedName name="REQ_DOCUMENTED">#REF!</definedName>
    <definedName name="REQ_REVIEWED">#REF!</definedName>
    <definedName name="REQ_STATUS">#REF!</definedName>
    <definedName name="REQ_WIP">#REF!</definedName>
    <definedName name="RISK_ACCEPTED">#REF!</definedName>
    <definedName name="RISK_OCCURED">#REF!</definedName>
    <definedName name="RISK_OCCURRED">#REF!</definedName>
    <definedName name="RISK_SOLVED">#REF!</definedName>
    <definedName name="RISK_STATUS">#REF!</definedName>
    <definedName name="RISK_TYPE_MAN">#REF!</definedName>
    <definedName name="RISK_TYPE_OTHER">#REF!</definedName>
    <definedName name="RISK_TYPE_QUALITY">#REF!</definedName>
    <definedName name="RISK_TYPE_TECHNIQUE">#REF!</definedName>
    <definedName name="RISK_WIP">#REF!</definedName>
    <definedName name="TI_fichier_j_h">#REF!</definedName>
    <definedName name="TI_inst_j_h">#REF!</definedName>
    <definedName name="TU_inst_j_h">#REF!</definedName>
    <definedName name="VARDESWARN1">#REF!</definedName>
    <definedName name="VARDESWARN2">#REF!</definedName>
    <definedName name="VARIMPWARN1">#REF!</definedName>
    <definedName name="VARIMPWARN2">#REF!</definedName>
    <definedName name="VARPROJENDDATE">#REF!</definedName>
    <definedName name="VARPROJSTARTDATE">#REF!</definedName>
    <definedName name="VARREQWARN1">#REF!</definedName>
    <definedName name="VARREQWARN2">#REF!</definedName>
  </definedNames>
  <calcPr calcId="145621"/>
</workbook>
</file>

<file path=xl/calcChain.xml><?xml version="1.0" encoding="utf-8"?>
<calcChain xmlns="http://schemas.openxmlformats.org/spreadsheetml/2006/main">
  <c r="S58" i="1" l="1"/>
  <c r="S60" i="1" s="1"/>
</calcChain>
</file>

<file path=xl/sharedStrings.xml><?xml version="1.0" encoding="utf-8"?>
<sst xmlns="http://schemas.openxmlformats.org/spreadsheetml/2006/main" count="435" uniqueCount="194">
  <si>
    <t xml:space="preserve">Liste des Evolutions le 21/12/2012 </t>
  </si>
  <si>
    <t>Evaluation intuitive de la charge de travail</t>
  </si>
  <si>
    <t>Type</t>
  </si>
  <si>
    <t>Impact</t>
  </si>
  <si>
    <t>Gravité</t>
  </si>
  <si>
    <t>Solution palliative</t>
  </si>
  <si>
    <t>REF</t>
  </si>
  <si>
    <t>Bugnet</t>
  </si>
  <si>
    <t>Libelle</t>
  </si>
  <si>
    <t>Petit</t>
  </si>
  <si>
    <t>Moyen</t>
  </si>
  <si>
    <t>Gros</t>
  </si>
  <si>
    <t>Parties</t>
  </si>
  <si>
    <t>Transverse</t>
  </si>
  <si>
    <t>Ecran</t>
  </si>
  <si>
    <t>Confort</t>
  </si>
  <si>
    <t>Metier</t>
  </si>
  <si>
    <t>Données</t>
  </si>
  <si>
    <t>Fonctionnel</t>
  </si>
  <si>
    <t>Très gênant</t>
  </si>
  <si>
    <t>Bloquant</t>
  </si>
  <si>
    <t>Oui</t>
  </si>
  <si>
    <t>Non</t>
  </si>
  <si>
    <t>Remarques</t>
  </si>
  <si>
    <t>JPM comment</t>
  </si>
  <si>
    <t>Facet/Descriptor screen: impossibilité d'entrer des descripteur quand la facette n'est pas validée</t>
  </si>
  <si>
    <t>x</t>
  </si>
  <si>
    <t>X</t>
  </si>
  <si>
    <t>Faut valider pour pouvoir saisir/choisr les descripteurs quitte à dévalider ensuite</t>
  </si>
  <si>
    <t>L'application fonctionne sur la base d'une règle métier qui stipule que seule une donnée validée est "utilisable". Il est nécessaire de statuer sur le besoin de défaire ou non cette règle. 3 hypothèses : 
* Ne pas défaire 
* défaire pour ce seul écran
* défaire partout
Selon l'option adopté, il y a éventuellement des conséquences sur le process métier que le CIRC devra anticipées.
Par exemple si le CIRC adopte la règle qui veut qu'on puisse créer des descripteurs sur des facettes non validées, cela peut générer éventuellement la création de nombreux descripteurs alors même que la persistance de la facette est en cause. J'ignore si cette remarque est pertinente mais mon idée est qu'il faut penser à des conséquences de ce genre.</t>
  </si>
  <si>
    <t>ability to unarchive records</t>
  </si>
  <si>
    <t>How to do that is on-going</t>
  </si>
  <si>
    <t>Ok, envoyez nous vos conclusions au plus tôt.</t>
  </si>
  <si>
    <t>3400/3689</t>
  </si>
  <si>
    <t>Afficher code Long de la classification à la place du code court partout</t>
  </si>
  <si>
    <t>C'est utile notamment dans les TREE lorsqu'on n'a pas l'entete, donc le fait d'avoir le code long permet de toujours connaitre le Père</t>
  </si>
  <si>
    <t>Je pense que c'est plus de l'ordre du confort que du fonctionnel. Personnellement même si j'avais le choix dès l'origine, je ne suis pas persuadé que j'opterai pour les code longs. Lorsqu'on fait une recherche dans une arborescence, on recherche d'abord l'entete et lorsqu'on on l'a trouvée on la mémorise et on se concentre sur les code courts.  Le fait d'avoir des code courts permet d'aller plus vite dans le ballaiage visuel et d'avoir plus de lisibilité. Cela nécessite une habitude au début mais ne représente à mon avis aucune gêne par la suite.</t>
  </si>
  <si>
    <t>3681/3682</t>
  </si>
  <si>
    <t>analyse the deep impact of validation rules</t>
  </si>
  <si>
    <t>How to do that is on-going the rule can be: "validated" records and records that have been validated (revert possible) have to be displayed</t>
  </si>
  <si>
    <t>3480/3514</t>
  </si>
  <si>
    <t>Besoin d'afficher des label à de nombreux endroits où seul le code est affiché (ex : Facette / descripteur)</t>
  </si>
  <si>
    <t>Necessite d'etre systematique dans l'affichage des codes et labels</t>
  </si>
  <si>
    <t>Evolution, charge 0,5 jr</t>
  </si>
  <si>
    <t>Contrôls</t>
  </si>
  <si>
    <t>Tools</t>
  </si>
  <si>
    <t>changer completement la presentation et le detail sur les retours des controles</t>
  </si>
  <si>
    <t>La problèmatique du contrôle est très spéciale. On peut passer 20 jours ou 2000 jours à développer des contrôles selon ce qu'on établit comme règles de contrôle et comme comportement, actions, message de l'application en fonction de chaque cas. Il peut y avoir des milliers de cas par complexification de situation. Les contôles existants sont très corrects au vu des ressources disponibles. Dans le cas où le CIRC souhaiterait améliorer ces contrôles, il serait nécessaire qu'il produise les règles précises ét détaillées (cela peut être très simple ou très compliqué) des actions attendues pour chaque situation ainsi que, éventuellement, le croisement des situations entre elles. C'est uniquement à ce moment que nous pourrions évaluer la charge de travail requise pour la réalisation (basée sur l'application strict de ces règles).</t>
  </si>
  <si>
    <t>Ctrl-C / Ctrl-V to input images</t>
  </si>
  <si>
    <t>select file</t>
  </si>
  <si>
    <t>Evolution, charge 4,5 jr</t>
  </si>
  <si>
    <t>database format Classification</t>
  </si>
  <si>
    <t>database</t>
  </si>
  <si>
    <t>Evolution on food classification not possible (e.g. cannot create another level of sub-group, cannot create another food classification)</t>
  </si>
  <si>
    <t>Nous avons fait le meilleur choix d'architecture au vu de tous les paramètres à gérer qui sont plus complexe que ce qui parait à première vue si on ne développe pas l'applications. Les évolutions sur food classification sont tout à fait possible dans le futur.</t>
  </si>
  <si>
    <t>3625/3664/3687</t>
  </si>
  <si>
    <t>detail and clarify error messages</t>
  </si>
  <si>
    <t>Même problématique que pour les contrôles</t>
  </si>
  <si>
    <t>don't error when no action was done</t>
  </si>
  <si>
    <t>Feu vert</t>
  </si>
  <si>
    <t>Guideline</t>
  </si>
  <si>
    <t>3657/3674</t>
  </si>
  <si>
    <t>Follow closely ES database content: e.g. replace ", " with ","; replace "True/False" with "1/0"</t>
  </si>
  <si>
    <t>3408/3426</t>
  </si>
  <si>
    <t>Fonctionnement de la fonction "delete"</t>
  </si>
  <si>
    <t>La pop-up "liste des items supprimes" est a afficher avant la demande de confirmation de delete et non apres</t>
  </si>
  <si>
    <t>Food screens: don't display Shadows foods in proposed food list</t>
  </si>
  <si>
    <t>Nous ne comprenons pas le besoin exprimé. A discuter.</t>
  </si>
  <si>
    <t>forbid carriage return in text fields</t>
  </si>
  <si>
    <t>exception for comments, descriptions fields and other explicitely specified fields</t>
  </si>
  <si>
    <t>Ok nous réalisons cette évolution gratuitement</t>
  </si>
  <si>
    <t>3440/3443/3523/3683</t>
  </si>
  <si>
    <t>Gestion de la sélection</t>
  </si>
  <si>
    <t>Gestion des Sous sous groupes dans Projets/pays</t>
  </si>
  <si>
    <t>Le CIRC définira au préalable les règles de gestion précises.</t>
  </si>
  <si>
    <t>Importation automatique dans projet et pays de la classification Library</t>
  </si>
  <si>
    <t>L'utilisateur doit penser à importer l'intégralité</t>
  </si>
  <si>
    <t>3402/3677</t>
  </si>
  <si>
    <t>improve responsivity / response time</t>
  </si>
  <si>
    <t>in fiche edit the current language in the main part of the fiche</t>
  </si>
  <si>
    <t>It is strange to display a field non updatable in a part of the pop-up and updatable in another part?</t>
  </si>
  <si>
    <t>3587/3661</t>
  </si>
  <si>
    <t>mass translation, Blank character is not a value, so even if blank is selected, it shoud be considered as null</t>
  </si>
  <si>
    <t>Uniquement 3587</t>
  </si>
  <si>
    <t>3522/3639</t>
  </si>
  <si>
    <t>newly created record not visible when it belongs to a different page</t>
  </si>
  <si>
    <t>Evolution, charge 12 jrs</t>
  </si>
  <si>
    <t>Perimeters displayed in imports according to visibility matrix AND user-rights</t>
  </si>
  <si>
    <t>Corrigé</t>
  </si>
  <si>
    <t>Présentation et manipulation sur écran food (recherche, tri, affectation status)</t>
  </si>
  <si>
    <t>Food</t>
  </si>
  <si>
    <t>Proposition d'écran après concertation coté CIRC</t>
  </si>
  <si>
    <t>Problème de tri lorsqu'il y a plusieurs page</t>
  </si>
  <si>
    <r>
      <t xml:space="preserve">Dans certaine pages le tri se fait sur la page en cours. On a besoin de faire un tri sur l'ensemble des pages. </t>
    </r>
    <r>
      <rPr>
        <strike/>
        <sz val="11"/>
        <rFont val="Calibri"/>
        <family val="2"/>
        <scheme val="minor"/>
      </rPr>
      <t>Mettre pagination de 30000</t>
    </r>
    <r>
      <rPr>
        <sz val="11"/>
        <rFont val="Calibri"/>
        <family val="2"/>
        <scheme val="minor"/>
      </rPr>
      <t xml:space="preserve"> (pas toujours vrai car on est parfois dans des pop-up et non des ecrans comme la pop-up mass translation). </t>
    </r>
  </si>
  <si>
    <t>Evolution, charge 15 jrs</t>
  </si>
  <si>
    <t>Réimport de synchro from Library</t>
  </si>
  <si>
    <t>Règle de gestion à confirmer ultérieurement</t>
  </si>
  <si>
    <t>3472/3506</t>
  </si>
  <si>
    <t>remove pagination everywhere</t>
  </si>
  <si>
    <t>set all page length to 30000 in EMP_Screen</t>
  </si>
  <si>
    <t>A confirmer par le CIRC</t>
  </si>
  <si>
    <t>Replier le bandeau de gauche</t>
  </si>
  <si>
    <t>Evolution, charge 3 jrs</t>
  </si>
  <si>
    <t>rule to set 'IN USE' state in the library</t>
  </si>
  <si>
    <t>Meed more explanation/rules from IARC</t>
  </si>
  <si>
    <t>Select All / Unselect all</t>
  </si>
  <si>
    <t>Evolution, charge 1,5 jr</t>
  </si>
  <si>
    <t>status input in mass translation</t>
  </si>
  <si>
    <t>A status of translation can only be attributed if a translation has been done (no empty field). We cannot have validated when the translation field is empty</t>
  </si>
  <si>
    <t>3515/3545</t>
  </si>
  <si>
    <t>Tri sur colonne INFO</t>
  </si>
  <si>
    <t xml:space="preserve">Utiliser recherche ou export
Ne concerne que 3515, 
le 3545 est clos
Concerne 45 écran
</t>
  </si>
  <si>
    <t>Evolution, charge 15 jr</t>
  </si>
  <si>
    <t>Classification screen: Label short des group/subgroup/sub-subgroup doit passer à 20 caractères</t>
  </si>
  <si>
    <t>Simple et gratuit mais vous perdez toutes vos données.
Sinon nous devons faire une migration de données : 3 jours.</t>
  </si>
  <si>
    <t>On peut corriger gratuitement.
Par contre il y a une perte des données et le CIRC devra reconstituer la base. 
On corrige tout en opérant une migration des données. 
Charge = 2 jours</t>
  </si>
  <si>
    <t>EPICTEXT : check translation status during control</t>
  </si>
  <si>
    <t>Epictext screen: Gestion de la traduction Epictext du dataentry : ne pas autoriser la traduction dans des champs qui n'ont pas de texte d'origine</t>
  </si>
  <si>
    <t>Evolution, charge 2 jrs</t>
  </si>
  <si>
    <t>EPICTEXT screen: in mass translation pop-up the sort has to be done on order variable</t>
  </si>
  <si>
    <t>Evolution, charge 2 ou 10 jrs selon l'option choisi</t>
  </si>
  <si>
    <t>facet/descrriptor screen: design fiche Facet/Descriptor</t>
  </si>
  <si>
    <t>facet/descrriptor screen: differentiate facet and descriptors in mass update popup</t>
  </si>
  <si>
    <t>Evolution, charge 13 jrs
Rappel : Les lignes affichées sont une simple information de rappel totalement facultative. On aurait pu s'en passer car il est logique que l'utilisateur qui sélectionne les lignes à commenter se rappelles ce qu'il vient juste de sélectionner en vu d'un commentaire. On pouvait donc, et c'est la pratique, afficher uniquement un champ de saisi seul sans rappeler les lignes sélectionnées. Nous avons fait un pas de plus en les affichant. Est il nécessaire de paufiner cet affichage? Si oui, cela coutera 13 jours de charge.</t>
  </si>
  <si>
    <t>Possibility to add the same text to 5 different FCO (e.g. water to several FCO).
IF we add a check box in front each FCO code in the following pop-up, we can allow the user to select several FCO, to enter only 1 name, 1 status, 1 description and 1 translation and several records can be generated in the list.</t>
  </si>
  <si>
    <t>Evolution, charge 1 jr</t>
  </si>
  <si>
    <t>Food list screen: allow creation of shadow for food with not validated status</t>
  </si>
  <si>
    <t>Problématique sur sur la Règle de la validation</t>
  </si>
  <si>
    <t>Food list screen: Faire évoluer le format lisible par l'application dans le cas d'un import (exemple foodlist)</t>
  </si>
  <si>
    <t>Il faut un code pour le food pour que le shadow puisse s'y rattacher</t>
  </si>
  <si>
    <t>Food list screen: Food code should be attributed during export of ES database</t>
  </si>
  <si>
    <t>Nous ne comprenons pas la raison du besoin exprimé.
Rappel : La règle définie initialement par le CIRC est qu'on attribue le code au moment de la validation. Quel est le problème rencontré avec cette règle et pourquoi le CIRC a besoin d'avoir une génération de code uniquement à l'export?
Evolution, charge 16 jrs</t>
  </si>
  <si>
    <t>Food list screen: Gestion des shadows</t>
  </si>
  <si>
    <t>La fiche shadow n'affiche pas le parent ni les frères. par contre la fiche du parent affiche tous les shadow. Il suffirait qd on ouvre le shadow d'ouvrir à sa place son parent</t>
  </si>
  <si>
    <t>Food list screen: more intelligent default classification when entering food</t>
  </si>
  <si>
    <t>Problème règlé</t>
  </si>
  <si>
    <t>improve design Classification Fiche</t>
  </si>
  <si>
    <t>The order/presentation of the field has to be reviewed</t>
  </si>
  <si>
    <t>Interviewer screen: Possibility to import a CSV-file for interviewer list</t>
  </si>
  <si>
    <t>manual input</t>
  </si>
  <si>
    <t>A définir par le CIRC</t>
  </si>
  <si>
    <t>Param. screen: open list for EPIC-Soft parameters</t>
  </si>
  <si>
    <t xml:space="preserve">In Param screen the list of parameters is fixed and if 1 parameter is added that means that screen need to be re-developed but this list is nearly fixed. </t>
  </si>
  <si>
    <t>Il y a 2 solutions :
1. Si un jour le CIRC a besoin d'ajouter un paramètre ou plusieurs, nous réalisons une évolution qui est de l'ordre de quelques jours. Cela entre dans un cadre normal d'une maintenance d'application quelle qu'elle soit.
2. Si le CIRC souhaite un écran dynamique qui permet l'ajout de paramètres de façon autonome : nous réalisons une évolution aujourd'hui dont la charge est estimé à environ 12 jours.</t>
  </si>
  <si>
    <t>Param. screen: pas de contrôle sur les champs fraction</t>
  </si>
  <si>
    <t>Possibilite de faire des contrôles visuel par l'utilisateur mais long et source d'erreur (e.g. pas de blanc)</t>
  </si>
  <si>
    <t>Evolution, charge 3 jrs
Rappel : Nous avions initialement développé des checkbox qui formatent au préalables les fractions à entrer. Le CIRC a abandonné et a souhaité des champs de saisie libre. Nous ne pouvions par défaut implémenter n'importe quel contrôle sur un type de saisie libre.Par conséquent, les contrôles sont une évolution.</t>
  </si>
  <si>
    <t>Raw/cooked category screen: value should be unique</t>
  </si>
  <si>
    <t>Raw/cooked category screen (e.g. boiled, fried, roasted)</t>
  </si>
  <si>
    <t>Substit screen: limit proposed classification to not already selected</t>
  </si>
  <si>
    <t>Evolution, charge 1,5 jour</t>
  </si>
  <si>
    <t>Substit: selected sub(sub)groups automatically when group has been selected</t>
  </si>
  <si>
    <t>Facet/Descriptor screen: Affichage mauvaise Facette quand on ouvre un descripteur</t>
  </si>
  <si>
    <t>Voir pourquoi classé en EVO, semble etre un BUG. Règle d'affichage de ce qui est validée uniquement ne s'applique que pour ce qui vient d'un autre écran</t>
  </si>
  <si>
    <t>Ecran substitution: implement business rule "Add a subgroup attached to the same subgroup"</t>
  </si>
  <si>
    <t>this is not an evolution because this added limitation has not been specified in the business rules of the checklist (not asked)</t>
  </si>
  <si>
    <t>3398/3399</t>
  </si>
  <si>
    <t>Classification, fold/unfold all the list</t>
  </si>
  <si>
    <t>Can be done in all the list displayed with classification. Is it an evolution? This functions have been specified in page 5 of the document MSapp_Evolution on Food Screen 6.0_CC.doc</t>
  </si>
  <si>
    <t>Evolution, charge 21 jrs
Rappel : Bien que le FEU VERT ait été disucté en réunion, le CIRC n'a jamais confirmé exactement son besoin et le FEU VERT n'a pas figuré dans les SFG finales que nous avions transmises (comme bien d'autres choses dont nous avions discuté et qui n'avait pas été retenues). Nous avions pris le parti d'investir 2000 jrs de charge dans l'application (sur 600 facturées). Et nous avions dépassé ce seuil même sans avoir le FV dans le périmètre. S'il avait fallu l'inclure, nous aurions eu à réduire la charge sur autre chose.</t>
  </si>
  <si>
    <t>Besoin à confirmer par le CIRC
Quand on ne veut rien faire et rien modifier, il faut cliquer sur CANCEL, c'est l'action la plus logique, et c'est celle que nous avons implémenté. le comportement souhaité ici par le CIRC n'est pas forcément une bonne chose. Nous suggérons que le CIRC discute en interne de ce besoin et qu'il nous confirme si oui ou non il le maintient, suite à quoi nous l'évaluerons.</t>
  </si>
  <si>
    <t>OK, ce point sera corrigé
Nous avons comme contrainte d'avoir un export CSV conforme aux données d'EPICSOFT (telles qu'elles étaient au moment des spécifications) en ce qui concerne le fichier BASE de DONNEES. Nous n'avons pas cette contrainte pour les exports écran. Les export écran doivent être conforme aux données affichées à l'écran.  
S'il faut changer à certains endroits des True/False par 0/1 =&gt; OK
S'il faut remplacer les ", " par des "," =&gt; OK
Par contre, nous ne pouvons nous engager à fournir, quel que soit l'écran, des données strictement au format d'EPICSOFT. Ce n'est pas l'objet des écrans. En principe, il y a pour ça un fichier d'export CSV EPICSOFT.</t>
  </si>
  <si>
    <t>Besoin à confirmer par le CIRC
En principe on demande à l'utilisateur s'il confirme la suppression ou non, et cela est suffisant. Nous avons rajouté un bonus qui consiste à lui faire un récapitulatif de ce qui a été supprimé. 
Nous pouvons soit :
* Laissé tel quel
* Supprimé le "bonus"
* Mettre l'écran de rappel avant l'action de suppresion =&gt; Evolution 10 jrs</t>
  </si>
  <si>
    <t xml:space="preserve">Evolution, charge 2 jrs
Rappel : Notre mécanisme initial ne prévoyait pas de pré-sélection. Le mécanisme actuel de pré-sélection a été décrit et voulu par le CIRC pour un certain nombre de raisons et nous l'avons implémenté ce qui nous avait couté une charge non négligeable. </t>
  </si>
  <si>
    <t>A définir par le CIRC
L'import est automatique de Librairy vers Projet.
L'import est manues de Projet Vers Pays.
Le CIRC avait fixé la règle selon laquelle le pays doit pouvoir choisir ce qu'il prend ou ne prend pas dans le Projet et c'est la raison pour laquelle l'import ne peut être automatique.
Nécessite une définition précise du comportement souhaité pour que Iteal puisse estimer la charge.</t>
  </si>
  <si>
    <t>A définir par le CIRC
Définir précisément les écrans ou les traitements qui posent problème au niveau des performances afin que nous les analysions.
il est à noter qu'à part supprimer des données, des tables, des fonctions et des traitements, il y aura toujours au vu de la complexité de l'application, de ses données, de ses règles, de ses fonctions, un temps de traitement incompressible. 
L'application dans son état actuel est déjà optimisée en terme de performance. On pourrait faire mieux mais cela se traduirait par la mise en place d'un projet à part entière de tunning, exactement comme on ferait du tunning sur une voiture qu'on confie à un préparateur.</t>
  </si>
  <si>
    <t>Evolution, charge 20 jrs
il y a un endroit spécifique destiné à la traduction. Il n'est pas forcément pertinent d'avoir la traduction ailleurs qu'à cet endroit (à voir). 
Rappel : Dans l'écran en question, le champs n'est pas modifiable pour une traduction car il s'agissait uniquement d'une information que le CIRC avait souhaité afficher. Une fois que nous l'avons affiché, le CIRC souhaite le rendre modifiable pour une traduction. 
S'il faut rendre ce champ modifiable pour accueillir la traduction, cela génére une charge importante.</t>
  </si>
  <si>
    <t>Demande rejetée
Nous déconseillons formellement d'utiliser les TREE selon le comportement décrit car cela totalement contraire à l'usage habituel des TREE. Par conséquent, il peut induire l'utilisateur lambda en erreur.</t>
  </si>
  <si>
    <t>IARC comment</t>
  </si>
  <si>
    <t>Nous attendions des propositions de votre part…</t>
  </si>
  <si>
    <t>Cela fait 18 ans que nous utilisons le code long pour la classification, et que jamais cela n'a été remis en cause, faut-il aujourd'hui que nous changions cela? De plus des groups, subgroups et sub-subgroups ont les mêmes codes cours… et pour un delete, on ne peut pas savoir quel group/subgroup/sub-subgroup a été supprimé...</t>
  </si>
  <si>
    <t>Pourrait-on deja avoir la liste des controles fait pas ecran dans un document specifique? Cela n'est pas clairement specifie dans les checklist. De plus n'ou n'avons nulle part les messages qui s'affichent en cas de probleme. Ensuite nous pourrons definir leurs presentations.</t>
  </si>
  <si>
    <t>n'est pas une priorite</t>
  </si>
  <si>
    <t>doit etre ajoute au point precedent ref 20</t>
  </si>
  <si>
    <t>ok mais supprimer le message, svt! 
Message='you must select a status or add a comment"</t>
  </si>
  <si>
    <t>Remarque: pas de rapport fait sur cet ecran feux verts suite aux reunions</t>
  </si>
  <si>
    <t>Remarque 1 : le fichier export est en xml
Remarque 2: si les donnees disponibles dans les ecrans sont deja compatible avec les donnees attendues pour l'export, cela implique un gain de temps de developpement + de tests pour vous et pour nous donc de cout.</t>
  </si>
  <si>
    <t>Faire le bonus correctement !</t>
  </si>
  <si>
    <t>Tout est toujours possible par la suite mais a quel prix/cout… Si la modif est faite en avance de phase, le cout ne sera pas le meme n'ont plus. Vu que nous savons deja comment l'application/data base va evoluer pourquoi se limiter?</t>
  </si>
  <si>
    <t>Non reproductible, car il n'est plus possible de saisir des records de type CR dans la food list. Nous pouvons donc fermer ce bugnet</t>
  </si>
  <si>
    <t>Probleme de comprehension du besoin: Au niveau group et subgroup, l'import doit etre automatique aussi bien au niveau Project que Country. Les groups et subgroups sont imposes.
voir les Rules 7 a 11 dans la checklist food_classification. 
Au niveau sub-subgroup, certains sont imposes et d'autres peuvent etre selectionnes voire ajoutes.</t>
  </si>
  <si>
    <t>pourquoi le CIRC devra-t-il reconstituer la base. Cela peut etre fait pasr ITEAL et durant l'installation, le CIRC installe la nouvelle base.</t>
  </si>
  <si>
    <t>Lorsque l'on lance le controle dans cet ecran, il n'y a aucun retour/commentaire sur les records qui ne sont pas traduits. Il faut juste ajouter un controle sur ces records non traduits.</t>
  </si>
  <si>
    <t>l'utilisateur doit saisir des groups/subgroups seulement s'il dit que la facette est de type "facet with descriptors available in the food list". Hors dans la fiche facet, l'utilisateur doit d'abord renseigner les groups/subgroups puis donner le type de facette.  Il y a juste un probleme d'affichage, le champ "type" doit etre place avant le champ "group" et non l'inverse.</t>
  </si>
  <si>
    <t>Check list per FCO screen: mass update of FCO text</t>
  </si>
  <si>
    <t>Vous arrivent-ils de vous mettrea a la place des utilisateurs? 
Dans cet ecran, on distingue  les facettes, les descripteurs et le liens entre les deux et sauf dans cette pop-up de "mass update" et dans la pop-up de "mass translation"! Est-ce bien logique / bien pense? 
13 jours???</t>
  </si>
  <si>
    <t>Comme expliquer dans le Bugnet: The rule "display/work on validated items only" is justified when we are in different screens (e.g. food list and display the validated food groups/subgroups) but it is not relevant at all when we are in the same screen because in that case, all the elements are closed linked; for example facets and descriptors, foods and shadows, groups and subgroups...
voir ref 13</t>
  </si>
  <si>
    <t xml:space="preserve">D'apres le Bugnet specifies ici, ces remarques sont pour les ecrans:
-  food classification: aujourd'hui ce probleme a disparu car il n'y a plus de pagination
- pour la fiche de l'ecran substit et pour le champ "Classification" ou cela prend du temps pour afficher cette pop-up. Cette pop-up classification existe aussi dans d'autre ecran ou on ne trouve pas ce probleme.  </t>
  </si>
  <si>
    <t xml:space="preserve">Ici nous avons des question sur le format du fichier csv permettant d'importer une liste de foods mais aussi des questions sur comment importer des Shadows. Le format propose ne permet d'importer en meme temps un nouveau food et son shadow attache </t>
  </si>
  <si>
    <t>Ceci n'est pas nouveau pour le CIRC. Nous avons 5 digits pour un code food et en moyenne 2000 foods par liste. Si on attribue trop tot un code a un food qui ne sera pas retenu, ce code est perdu (non reutilisable). Donc apres plusieurs mises a jour dans la food list, on pourra vite se retrouver bloque. Pour eviter cela, le code peut etre attribuer uniquement au moment de l'export. De plus ce code est utile pour EPIc-Soft et non pour MSapp car pour cette derniere, c'est son id qui compte.
16 jours pour cela? ou est la difficulte?</t>
  </si>
  <si>
    <t>Note: vous dites que c'est le CIRC qui a choisi la premiere solution… mais non, le CIRC n'a rien choisit!</t>
  </si>
  <si>
    <t>Effectivement cela est aujourd'hui attache a la regle de validation et comme cette derniere est mal appliquee, cela genere des donnees fausses : a descriptor can be attached to a wrong facet</t>
  </si>
  <si>
    <t>jours</t>
  </si>
  <si>
    <r>
      <t>Nous ne remettons pas en cause cette règle qui stipule que seule une donnée validée est "utilisable"</t>
    </r>
    <r>
      <rPr>
        <b/>
        <sz val="11"/>
        <color theme="1"/>
        <rFont val="Calibri"/>
        <family val="2"/>
        <scheme val="minor"/>
      </rPr>
      <t xml:space="preserve"> dans un autre écran.</t>
    </r>
    <r>
      <rPr>
        <sz val="11"/>
        <color theme="1"/>
        <rFont val="Calibri"/>
        <family val="2"/>
        <scheme val="minor"/>
      </rPr>
      <t xml:space="preserve">
Ici les facettes et descripteurs sont présents dans le même écran donc cette règle ne peut pas s'appliquer telle quelle! 
Si on prend l'écran group/subgroup (comme exemple), l'utilisateur n'a pas besoin de valider le groupe pour pouvoir lui attacher des sous-groupes.
Un utilisateur ne peut pas comprendre pourquoi l'écran facets/descriptors ne fonctionne pas comme et l'écran group/subgroup.
Effectivement, techniquement, il y a 2 tables pour les facets/descriptors et une seule pour group/subgroup d’où le fait que cette règle soit appliquer pour les facettes/descripteurs et non pour les groups/subgroups mais la technique ne doit pas prévaloir sur l'applicatif.
Pour finir, au niveau applicatif, on ne peut pas valider une facette si on n’a pas vu d’abord les descripteurs qui lui sont attachés. Comment pouvez-vous répondre à cela ?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</si>
</sst>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1]_-;\-* #,##0.00\ [$€-1]_-;_-* &quot;-&quot;??\ [$€-1]_-"/>
  </numFmts>
  <fonts count="23" x14ac:knownFonts="1">
    <font>
      <sz val="11"/>
      <color theme="1"/>
      <name val="Calibri"/>
      <family val="2"/>
      <scheme val="minor"/>
    </font>
    <font>
      <b/>
      <sz val="16"/>
      <color indexed="8"/>
      <name val="Calibri"/>
      <family val="2"/>
    </font>
    <font>
      <b/>
      <sz val="11"/>
      <color indexed="8"/>
      <name val="Calibri"/>
      <family val="2"/>
    </font>
    <font>
      <b/>
      <sz val="11"/>
      <color rgb="FFFF0000"/>
      <name val="Calibri"/>
      <family val="2"/>
    </font>
    <font>
      <b/>
      <sz val="11"/>
      <color indexed="10"/>
      <name val="Calibri"/>
      <family val="2"/>
    </font>
    <font>
      <b/>
      <sz val="11"/>
      <name val="Calibri"/>
      <family val="2"/>
      <scheme val="minor"/>
    </font>
    <font>
      <b/>
      <sz val="11"/>
      <color rgb="FFFF0000"/>
      <name val="Calibri"/>
      <family val="2"/>
      <scheme val="minor"/>
    </font>
    <font>
      <sz val="11"/>
      <name val="Calibri"/>
      <family val="2"/>
      <scheme val="minor"/>
    </font>
    <font>
      <b/>
      <strike/>
      <sz val="11"/>
      <name val="Calibri"/>
      <family val="2"/>
      <scheme val="minor"/>
    </font>
    <font>
      <b/>
      <sz val="11"/>
      <color rgb="FF0033CC"/>
      <name val="Calibri"/>
      <family val="2"/>
      <scheme val="minor"/>
    </font>
    <font>
      <sz val="11"/>
      <color rgb="FF0033CC"/>
      <name val="Calibri"/>
      <family val="2"/>
      <scheme val="minor"/>
    </font>
    <font>
      <sz val="11"/>
      <color rgb="FF000099"/>
      <name val="Calibri"/>
      <family val="2"/>
      <scheme val="minor"/>
    </font>
    <font>
      <strike/>
      <sz val="11"/>
      <name val="Calibri"/>
      <family val="2"/>
      <scheme val="minor"/>
    </font>
    <font>
      <b/>
      <sz val="11"/>
      <color rgb="FF000099"/>
      <name val="Calibri"/>
      <family val="2"/>
      <scheme val="minor"/>
    </font>
    <font>
      <sz val="10"/>
      <name val="Arial"/>
      <family val="2"/>
    </font>
    <font>
      <sz val="10"/>
      <name val="Arial"/>
      <family val="2"/>
    </font>
    <font>
      <b/>
      <sz val="11"/>
      <color theme="1"/>
      <name val="Calibri"/>
      <family val="2"/>
      <scheme val="minor"/>
    </font>
    <font>
      <i/>
      <sz val="11"/>
      <color theme="1"/>
      <name val="Calibri"/>
      <family val="2"/>
      <scheme val="minor"/>
    </font>
    <font>
      <i/>
      <sz val="11"/>
      <name val="Calibri"/>
      <family val="2"/>
      <scheme val="minor"/>
    </font>
    <font>
      <b/>
      <sz val="18"/>
      <color indexed="8"/>
      <name val="Calibri"/>
      <family val="2"/>
    </font>
    <font>
      <b/>
      <sz val="18"/>
      <color theme="1"/>
      <name val="Calibri"/>
      <family val="2"/>
      <scheme val="minor"/>
    </font>
    <font>
      <b/>
      <sz val="18"/>
      <color rgb="FF000099"/>
      <name val="Calibri"/>
      <family val="2"/>
      <scheme val="minor"/>
    </font>
    <font>
      <b/>
      <sz val="18"/>
      <color rgb="FF0033CC"/>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rgb="FFCCFFCC"/>
        <bgColor indexed="64"/>
      </patternFill>
    </fill>
    <fill>
      <patternFill patternType="solid">
        <fgColor rgb="FFFFFF00"/>
        <bgColor indexed="64"/>
      </patternFill>
    </fill>
    <fill>
      <patternFill patternType="solid">
        <fgColor rgb="FFFF0000"/>
        <bgColor indexed="64"/>
      </patternFill>
    </fill>
    <fill>
      <patternFill patternType="solid">
        <fgColor rgb="FF99FFCC"/>
        <bgColor indexed="64"/>
      </patternFill>
    </fill>
    <fill>
      <patternFill patternType="solid">
        <fgColor rgb="FFCCCCFF"/>
        <bgColor indexed="64"/>
      </patternFill>
    </fill>
  </fills>
  <borders count="33">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s>
  <cellStyleXfs count="3">
    <xf numFmtId="0" fontId="0" fillId="0" borderId="0"/>
    <xf numFmtId="164" fontId="14" fillId="0" borderId="0" applyFont="0" applyFill="0" applyBorder="0" applyAlignment="0" applyProtection="0"/>
    <xf numFmtId="0" fontId="15" fillId="0" borderId="0"/>
  </cellStyleXfs>
  <cellXfs count="155">
    <xf numFmtId="0" fontId="0" fillId="0" borderId="0" xfId="0"/>
    <xf numFmtId="0" fontId="1" fillId="0" borderId="1" xfId="0" applyFont="1" applyBorder="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left" vertical="top" wrapText="1"/>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wrapText="1"/>
    </xf>
    <xf numFmtId="0" fontId="2" fillId="0" borderId="5" xfId="0" applyFont="1" applyBorder="1" applyAlignment="1">
      <alignment horizontal="center" textRotation="90" wrapText="1"/>
    </xf>
    <xf numFmtId="0" fontId="2" fillId="0" borderId="5" xfId="0" applyFont="1" applyBorder="1" applyAlignment="1">
      <alignment wrapText="1"/>
    </xf>
    <xf numFmtId="0" fontId="2" fillId="0" borderId="7" xfId="0" applyFont="1" applyBorder="1" applyAlignment="1">
      <alignment horizontal="center"/>
    </xf>
    <xf numFmtId="1" fontId="2" fillId="0" borderId="1" xfId="0" applyNumberFormat="1" applyFont="1" applyBorder="1" applyAlignment="1">
      <alignment horizontal="center"/>
    </xf>
    <xf numFmtId="0" fontId="2" fillId="0" borderId="1" xfId="0" applyFont="1" applyBorder="1" applyAlignment="1">
      <alignment horizontal="center" wrapText="1"/>
    </xf>
    <xf numFmtId="0" fontId="2" fillId="0" borderId="7" xfId="0" applyFont="1" applyBorder="1" applyAlignment="1">
      <alignment horizontal="center" textRotation="90"/>
    </xf>
    <xf numFmtId="0" fontId="2" fillId="0" borderId="1" xfId="0" applyFont="1" applyBorder="1" applyAlignment="1">
      <alignment horizontal="center" textRotation="90"/>
    </xf>
    <xf numFmtId="0" fontId="2" fillId="0" borderId="8" xfId="0" applyFont="1" applyBorder="1" applyAlignment="1">
      <alignment horizontal="center" textRotation="90" wrapText="1"/>
    </xf>
    <xf numFmtId="0" fontId="2" fillId="2" borderId="7" xfId="0" applyFont="1" applyFill="1" applyBorder="1" applyAlignment="1">
      <alignment horizontal="center" textRotation="90"/>
    </xf>
    <xf numFmtId="0" fontId="2" fillId="3" borderId="1" xfId="0" applyFont="1" applyFill="1" applyBorder="1" applyAlignment="1">
      <alignment horizontal="center" textRotation="90"/>
    </xf>
    <xf numFmtId="0" fontId="3" fillId="0" borderId="7" xfId="0" applyFont="1" applyBorder="1" applyAlignment="1">
      <alignment horizontal="center" textRotation="90"/>
    </xf>
    <xf numFmtId="0" fontId="3" fillId="4" borderId="1" xfId="0" applyFont="1" applyFill="1" applyBorder="1" applyAlignment="1">
      <alignment textRotation="90"/>
    </xf>
    <xf numFmtId="0" fontId="4" fillId="0" borderId="7" xfId="0" applyFont="1" applyBorder="1" applyAlignment="1">
      <alignment textRotation="90"/>
    </xf>
    <xf numFmtId="0" fontId="4" fillId="0" borderId="1" xfId="0" applyFont="1" applyBorder="1" applyAlignment="1">
      <alignment textRotation="90"/>
    </xf>
    <xf numFmtId="0" fontId="2" fillId="0" borderId="0" xfId="0" applyFont="1" applyBorder="1" applyAlignment="1">
      <alignment horizontal="center"/>
    </xf>
    <xf numFmtId="1" fontId="0" fillId="0" borderId="9" xfId="0" applyNumberFormat="1" applyFill="1" applyBorder="1" applyAlignment="1">
      <alignment horizontal="center" vertical="center"/>
    </xf>
    <xf numFmtId="0" fontId="0" fillId="0" borderId="10" xfId="0" applyFill="1" applyBorder="1" applyAlignment="1">
      <alignment vertical="center" wrapText="1"/>
    </xf>
    <xf numFmtId="0" fontId="5" fillId="0" borderId="11" xfId="0" applyFont="1" applyBorder="1" applyAlignment="1">
      <alignment horizontal="center" vertical="center"/>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6" fillId="0" borderId="11" xfId="0" applyFont="1" applyBorder="1" applyAlignment="1">
      <alignment horizontal="center" vertical="center"/>
    </xf>
    <xf numFmtId="0" fontId="6" fillId="4" borderId="12"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left" vertical="top" wrapText="1"/>
    </xf>
    <xf numFmtId="0" fontId="0" fillId="0" borderId="0" xfId="0" applyBorder="1" applyAlignment="1">
      <alignment vertical="center" wrapText="1"/>
    </xf>
    <xf numFmtId="1" fontId="0" fillId="0" borderId="14" xfId="0" applyNumberFormat="1" applyFill="1" applyBorder="1" applyAlignment="1">
      <alignment horizontal="center" vertical="center"/>
    </xf>
    <xf numFmtId="0" fontId="0" fillId="0" borderId="15" xfId="0" applyFill="1" applyBorder="1" applyAlignment="1">
      <alignment vertical="center" wrapText="1"/>
    </xf>
    <xf numFmtId="0" fontId="5" fillId="0" borderId="16" xfId="0" applyFont="1" applyBorder="1" applyAlignment="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2" borderId="16" xfId="0" applyFont="1" applyFill="1" applyBorder="1" applyAlignment="1">
      <alignment horizontal="center" vertical="center"/>
    </xf>
    <xf numFmtId="0" fontId="5" fillId="0" borderId="19" xfId="0" applyFont="1" applyBorder="1" applyAlignment="1">
      <alignment horizontal="center" vertical="center"/>
    </xf>
    <xf numFmtId="0" fontId="5"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1" fontId="0" fillId="0" borderId="20" xfId="0" applyNumberFormat="1" applyFill="1" applyBorder="1" applyAlignment="1">
      <alignment horizontal="center" vertical="center"/>
    </xf>
    <xf numFmtId="0" fontId="0" fillId="0" borderId="21" xfId="0" applyFill="1" applyBorder="1" applyAlignment="1">
      <alignment vertical="center" wrapText="1"/>
    </xf>
    <xf numFmtId="0" fontId="5" fillId="0" borderId="22" xfId="0" applyFont="1"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2" borderId="22" xfId="0" applyFont="1" applyFill="1" applyBorder="1" applyAlignment="1">
      <alignment horizontal="center" vertical="center"/>
    </xf>
    <xf numFmtId="0" fontId="5" fillId="0" borderId="25" xfId="0" applyFont="1" applyBorder="1" applyAlignment="1">
      <alignment horizontal="center" vertical="center"/>
    </xf>
    <xf numFmtId="0" fontId="5"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8" fillId="0" borderId="24" xfId="0" applyFont="1" applyBorder="1" applyAlignment="1">
      <alignment horizontal="center" vertical="center"/>
    </xf>
    <xf numFmtId="1" fontId="7" fillId="0" borderId="20" xfId="0" applyNumberFormat="1" applyFont="1" applyFill="1" applyBorder="1" applyAlignment="1">
      <alignment horizontal="center" vertical="center"/>
    </xf>
    <xf numFmtId="0" fontId="7" fillId="0" borderId="21" xfId="0" applyFont="1" applyFill="1" applyBorder="1" applyAlignment="1">
      <alignment vertical="center" wrapText="1"/>
    </xf>
    <xf numFmtId="0" fontId="10" fillId="0" borderId="0" xfId="0" applyFont="1" applyBorder="1" applyAlignment="1">
      <alignment vertical="center"/>
    </xf>
    <xf numFmtId="0" fontId="8" fillId="0" borderId="22" xfId="0" applyFont="1" applyBorder="1" applyAlignment="1">
      <alignment horizontal="center" vertical="center"/>
    </xf>
    <xf numFmtId="1" fontId="0" fillId="0" borderId="26" xfId="0" applyNumberFormat="1" applyFill="1" applyBorder="1" applyAlignment="1">
      <alignment horizontal="center" vertical="center"/>
    </xf>
    <xf numFmtId="0" fontId="0" fillId="0" borderId="27" xfId="0" applyFill="1" applyBorder="1" applyAlignment="1">
      <alignment vertical="center" wrapText="1"/>
    </xf>
    <xf numFmtId="0" fontId="5" fillId="0" borderId="28" xfId="0" applyFont="1" applyBorder="1" applyAlignment="1">
      <alignment horizontal="center" vertical="center"/>
    </xf>
    <xf numFmtId="0" fontId="5" fillId="0" borderId="26"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2" borderId="28" xfId="0" applyFont="1" applyFill="1" applyBorder="1" applyAlignment="1">
      <alignment horizontal="center" vertical="center"/>
    </xf>
    <xf numFmtId="0" fontId="5" fillId="0" borderId="31" xfId="0" applyFont="1" applyBorder="1" applyAlignment="1">
      <alignment horizontal="center" vertical="center"/>
    </xf>
    <xf numFmtId="0" fontId="5"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3" borderId="17" xfId="0" applyFont="1" applyFill="1" applyBorder="1" applyAlignment="1">
      <alignment horizontal="center" vertical="center"/>
    </xf>
    <xf numFmtId="0" fontId="5" fillId="3" borderId="23" xfId="0" applyFont="1" applyFill="1" applyBorder="1" applyAlignment="1">
      <alignment horizontal="center" vertical="center"/>
    </xf>
    <xf numFmtId="0" fontId="5" fillId="3" borderId="29" xfId="0" applyFont="1" applyFill="1" applyBorder="1" applyAlignment="1">
      <alignment horizontal="center" vertical="center"/>
    </xf>
    <xf numFmtId="1" fontId="10" fillId="0" borderId="20" xfId="0" applyNumberFormat="1" applyFont="1" applyFill="1" applyBorder="1" applyAlignment="1">
      <alignment horizontal="center" vertical="center"/>
    </xf>
    <xf numFmtId="0" fontId="10" fillId="0" borderId="21" xfId="0" applyFont="1" applyFill="1" applyBorder="1" applyAlignment="1">
      <alignment vertical="center" wrapText="1"/>
    </xf>
    <xf numFmtId="0" fontId="9" fillId="0" borderId="22" xfId="0" applyFont="1" applyBorder="1" applyAlignment="1">
      <alignment horizontal="center" vertical="center"/>
    </xf>
    <xf numFmtId="0" fontId="9" fillId="0" borderId="20"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1" xfId="0" applyFont="1" applyBorder="1" applyAlignment="1">
      <alignment horizontal="center" vertical="center"/>
    </xf>
    <xf numFmtId="0" fontId="9" fillId="4" borderId="23" xfId="0" applyFont="1" applyFill="1" applyBorder="1" applyAlignment="1">
      <alignment horizontal="center" vertical="center"/>
    </xf>
    <xf numFmtId="1" fontId="11" fillId="0" borderId="14" xfId="0" applyNumberFormat="1" applyFont="1" applyFill="1" applyBorder="1" applyAlignment="1">
      <alignment horizontal="center" vertical="center"/>
    </xf>
    <xf numFmtId="0" fontId="11" fillId="0" borderId="15" xfId="0" applyFont="1" applyFill="1" applyBorder="1" applyAlignment="1">
      <alignment vertical="center" wrapText="1"/>
    </xf>
    <xf numFmtId="0" fontId="13" fillId="0" borderId="16" xfId="0" applyFont="1" applyBorder="1" applyAlignment="1">
      <alignment horizontal="center" vertical="center"/>
    </xf>
    <xf numFmtId="0" fontId="13" fillId="0" borderId="14"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15" xfId="0" applyFont="1" applyBorder="1" applyAlignment="1">
      <alignment horizontal="center" vertical="center"/>
    </xf>
    <xf numFmtId="0" fontId="6" fillId="4" borderId="17" xfId="0" applyFont="1" applyFill="1" applyBorder="1" applyAlignment="1">
      <alignment horizontal="center" vertical="center"/>
    </xf>
    <xf numFmtId="1" fontId="11" fillId="0" borderId="26" xfId="0" applyNumberFormat="1" applyFont="1" applyBorder="1" applyAlignment="1">
      <alignment horizontal="center" vertical="center"/>
    </xf>
    <xf numFmtId="0" fontId="11" fillId="0" borderId="27" xfId="0" applyFont="1" applyBorder="1" applyAlignment="1">
      <alignment vertical="center" wrapText="1"/>
    </xf>
    <xf numFmtId="0" fontId="13" fillId="0" borderId="28" xfId="0" applyFont="1" applyBorder="1" applyAlignment="1">
      <alignment horizontal="center" vertical="center"/>
    </xf>
    <xf numFmtId="0" fontId="13" fillId="0" borderId="26"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27" xfId="0" applyFont="1" applyBorder="1" applyAlignment="1">
      <alignment horizontal="center" vertical="center"/>
    </xf>
    <xf numFmtId="0" fontId="0" fillId="0" borderId="0" xfId="0" applyBorder="1" applyAlignment="1">
      <alignment horizontal="center" vertical="center"/>
    </xf>
    <xf numFmtId="1" fontId="0" fillId="0" borderId="0" xfId="0" applyNumberFormat="1" applyBorder="1" applyAlignment="1">
      <alignment horizontal="center" vertical="center"/>
    </xf>
    <xf numFmtId="0" fontId="0" fillId="0" borderId="6" xfId="0" applyBorder="1" applyAlignment="1">
      <alignment horizontal="center" vertical="center"/>
    </xf>
    <xf numFmtId="0" fontId="0" fillId="0" borderId="32" xfId="0" applyBorder="1" applyAlignment="1">
      <alignment vertical="center" wrapText="1"/>
    </xf>
    <xf numFmtId="0" fontId="2" fillId="0" borderId="0" xfId="0" applyFont="1" applyBorder="1" applyAlignment="1">
      <alignment horizontal="center" vertical="center" wrapText="1"/>
    </xf>
    <xf numFmtId="0" fontId="1" fillId="0" borderId="1" xfId="0" applyFont="1" applyBorder="1" applyAlignment="1">
      <alignment vertical="center" wrapText="1"/>
    </xf>
    <xf numFmtId="0" fontId="2" fillId="0" borderId="0" xfId="0" applyFont="1" applyFill="1" applyBorder="1" applyAlignment="1">
      <alignment horizontal="center" wrapText="1"/>
    </xf>
    <xf numFmtId="0" fontId="1"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16" fillId="0" borderId="0" xfId="0" applyFont="1" applyFill="1" applyBorder="1" applyAlignment="1">
      <alignment horizontal="center" vertical="center" wrapText="1"/>
    </xf>
    <xf numFmtId="0" fontId="2" fillId="0" borderId="7" xfId="0" applyFont="1" applyBorder="1" applyAlignment="1">
      <alignment horizontal="center" wrapText="1"/>
    </xf>
    <xf numFmtId="0" fontId="0" fillId="0" borderId="1" xfId="0" applyBorder="1" applyAlignment="1">
      <alignment vertical="center" wrapText="1"/>
    </xf>
    <xf numFmtId="0" fontId="0" fillId="0" borderId="24" xfId="0" applyBorder="1" applyAlignment="1">
      <alignment vertical="center" wrapText="1"/>
    </xf>
    <xf numFmtId="0" fontId="7" fillId="4" borderId="18" xfId="0" applyFont="1" applyFill="1" applyBorder="1" applyAlignment="1">
      <alignment vertical="center" wrapText="1"/>
    </xf>
    <xf numFmtId="0" fontId="7" fillId="0" borderId="24" xfId="0" applyFont="1" applyBorder="1" applyAlignment="1">
      <alignment vertical="center" wrapText="1"/>
    </xf>
    <xf numFmtId="0" fontId="7" fillId="4" borderId="24" xfId="0" applyFont="1" applyFill="1" applyBorder="1" applyAlignment="1">
      <alignment vertical="center" wrapText="1"/>
    </xf>
    <xf numFmtId="0" fontId="7" fillId="0" borderId="30" xfId="0" applyFont="1" applyBorder="1" applyAlignment="1">
      <alignment vertical="center" wrapText="1"/>
    </xf>
    <xf numFmtId="0" fontId="7" fillId="0" borderId="18" xfId="0" applyFont="1" applyBorder="1" applyAlignment="1">
      <alignment vertical="center" wrapText="1"/>
    </xf>
    <xf numFmtId="0" fontId="0" fillId="0" borderId="30" xfId="0" applyBorder="1" applyAlignment="1">
      <alignment vertical="center" wrapText="1"/>
    </xf>
    <xf numFmtId="0" fontId="10" fillId="0" borderId="24" xfId="0" applyFont="1" applyBorder="1" applyAlignment="1">
      <alignment vertical="center" wrapText="1"/>
    </xf>
    <xf numFmtId="0" fontId="11" fillId="0" borderId="18" xfId="0" applyFont="1" applyBorder="1" applyAlignment="1">
      <alignment vertical="center" wrapText="1"/>
    </xf>
    <xf numFmtId="0" fontId="11" fillId="0" borderId="30" xfId="0" applyFont="1" applyBorder="1" applyAlignment="1">
      <alignment vertical="center" wrapText="1"/>
    </xf>
    <xf numFmtId="0" fontId="2" fillId="0" borderId="20" xfId="0" applyFont="1" applyFill="1" applyBorder="1" applyAlignment="1">
      <alignment horizontal="center" wrapText="1"/>
    </xf>
    <xf numFmtId="0" fontId="2" fillId="0" borderId="20" xfId="0" applyFont="1" applyBorder="1" applyAlignment="1">
      <alignment horizontal="center" wrapText="1"/>
    </xf>
    <xf numFmtId="0" fontId="0" fillId="0" borderId="20" xfId="0" applyFill="1" applyBorder="1" applyAlignment="1">
      <alignment horizontal="center" vertical="center" wrapText="1"/>
    </xf>
    <xf numFmtId="0" fontId="0" fillId="0" borderId="20" xfId="0" applyBorder="1" applyAlignment="1">
      <alignment horizontal="left" vertical="top" wrapText="1"/>
    </xf>
    <xf numFmtId="0" fontId="0" fillId="0" borderId="20" xfId="0" applyBorder="1" applyAlignment="1">
      <alignment vertical="center" wrapText="1"/>
    </xf>
    <xf numFmtId="0" fontId="7" fillId="0" borderId="20" xfId="0" applyFont="1" applyFill="1" applyBorder="1" applyAlignment="1">
      <alignment horizontal="center" vertical="center" wrapText="1"/>
    </xf>
    <xf numFmtId="0" fontId="0" fillId="4" borderId="20" xfId="0" applyFill="1" applyBorder="1" applyAlignment="1">
      <alignment horizontal="left" vertical="top" wrapText="1"/>
    </xf>
    <xf numFmtId="0" fontId="7" fillId="0" borderId="20" xfId="0" applyFont="1" applyBorder="1" applyAlignment="1">
      <alignment vertical="center" wrapText="1"/>
    </xf>
    <xf numFmtId="0" fontId="0" fillId="6" borderId="20" xfId="0" applyFill="1" applyBorder="1" applyAlignment="1">
      <alignment horizontal="left" vertical="top" wrapText="1"/>
    </xf>
    <xf numFmtId="0" fontId="0" fillId="7" borderId="20" xfId="0" applyFill="1" applyBorder="1" applyAlignment="1">
      <alignment horizontal="left" vertical="top" wrapText="1"/>
    </xf>
    <xf numFmtId="0" fontId="0" fillId="7" borderId="20" xfId="0" applyFill="1" applyBorder="1" applyAlignment="1">
      <alignment vertical="center" wrapText="1"/>
    </xf>
    <xf numFmtId="0" fontId="17" fillId="0" borderId="20"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7" fillId="4" borderId="20" xfId="0" applyFont="1" applyFill="1" applyBorder="1" applyAlignment="1">
      <alignment horizontal="left" vertical="top" wrapText="1"/>
    </xf>
    <xf numFmtId="0" fontId="19" fillId="0" borderId="1" xfId="0" applyFont="1" applyBorder="1" applyAlignment="1">
      <alignment vertical="center"/>
    </xf>
    <xf numFmtId="0" fontId="19" fillId="0" borderId="2" xfId="0" applyFont="1" applyBorder="1" applyAlignment="1">
      <alignment horizontal="center" vertical="center"/>
    </xf>
    <xf numFmtId="0" fontId="20" fillId="0" borderId="9" xfId="0" applyFont="1" applyBorder="1" applyAlignment="1">
      <alignment horizontal="center" vertical="center"/>
    </xf>
    <xf numFmtId="0" fontId="20" fillId="0" borderId="20" xfId="0" applyFont="1" applyBorder="1" applyAlignment="1">
      <alignment horizontal="center" vertical="center"/>
    </xf>
    <xf numFmtId="0" fontId="20" fillId="0" borderId="14" xfId="0" applyFont="1" applyBorder="1" applyAlignment="1">
      <alignment horizontal="center" vertical="center"/>
    </xf>
    <xf numFmtId="0" fontId="20" fillId="5" borderId="20" xfId="0" applyFont="1" applyFill="1" applyBorder="1" applyAlignment="1">
      <alignment horizontal="center" vertical="center"/>
    </xf>
    <xf numFmtId="0" fontId="21" fillId="0" borderId="20" xfId="0" applyFont="1" applyBorder="1" applyAlignment="1">
      <alignment horizontal="center" vertical="center"/>
    </xf>
    <xf numFmtId="0" fontId="22" fillId="0" borderId="20" xfId="0" applyFont="1" applyBorder="1" applyAlignment="1">
      <alignment horizontal="center" vertical="center"/>
    </xf>
    <xf numFmtId="0" fontId="20" fillId="0" borderId="26" xfId="0" applyFont="1" applyBorder="1" applyAlignment="1">
      <alignment horizontal="center" vertical="center"/>
    </xf>
    <xf numFmtId="0" fontId="20" fillId="0" borderId="0"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cellXfs>
  <cellStyles count="3">
    <cellStyle name="Euro" xfId="1"/>
    <cellStyle name="Normal" xfId="0" builtinId="0"/>
    <cellStyle name="Normal 2" xfId="2"/>
  </cellStyles>
  <dxfs count="0"/>
  <tableStyles count="0" defaultTableStyle="TableStyleMedium2" defaultPivotStyle="PivotStyleLight16"/>
  <colors>
    <mruColors>
      <color rgb="FF99FFCC"/>
      <color rgb="FF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sagrandec\AppData\Local\Microsoft\Windows\Temporary%20Internet%20Files\Content.Outlook\80ODH03Z\Copie%20de%20Evolutions_analyse_20121221_jp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IFS\PROJECTS\CFDIU\GESTION\AVANCEMENT\IS-CFDIU_TB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
      <sheetName val="Estimation"/>
      <sheetName val="Estimation2"/>
      <sheetName val="DV-IDENTITY-0"/>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étriques"/>
      <sheetName val="Rapport hebdomadaire"/>
      <sheetName val="Incidences"/>
      <sheetName val="Plan de livraison"/>
      <sheetName val="Références"/>
    </sheetNames>
    <sheetDataSet>
      <sheetData sheetId="0"/>
      <sheetData sheetId="1"/>
      <sheetData sheetId="2"/>
      <sheetData sheetId="3"/>
      <sheetData sheetId="4">
        <row r="85">
          <cell r="A85" t="str">
            <v>OUVERT</v>
          </cell>
        </row>
        <row r="86">
          <cell r="A86" t="str">
            <v>TRAITE</v>
          </cell>
        </row>
        <row r="87">
          <cell r="A87" t="str">
            <v>FERME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tabSelected="1" zoomScale="80" zoomScaleNormal="80" workbookViewId="0">
      <pane xSplit="3" ySplit="3" topLeftCell="O4" activePane="bottomRight" state="frozenSplit"/>
      <selection pane="topRight" activeCell="D1" sqref="D1"/>
      <selection pane="bottomLeft" activeCell="A5" sqref="A5"/>
      <selection pane="bottomRight" activeCell="R23" sqref="R23"/>
    </sheetView>
  </sheetViews>
  <sheetFormatPr defaultColWidth="11.42578125" defaultRowHeight="23.25" outlineLevelCol="1" x14ac:dyDescent="0.25"/>
  <cols>
    <col min="1" max="1" width="5.140625" style="148" bestFit="1" customWidth="1"/>
    <col min="2" max="2" width="16.140625" style="102" bestFit="1" customWidth="1"/>
    <col min="3" max="3" width="36.28515625" style="33" customWidth="1"/>
    <col min="4" max="4" width="4.7109375" style="103" customWidth="1" outlineLevel="1"/>
    <col min="5" max="6" width="4.7109375" style="101" customWidth="1" outlineLevel="1"/>
    <col min="7" max="7" width="9.140625" style="103" customWidth="1" outlineLevel="1"/>
    <col min="8" max="8" width="4.42578125" style="103" customWidth="1" outlineLevel="1"/>
    <col min="9" max="9" width="4.42578125" style="101" customWidth="1" outlineLevel="1"/>
    <col min="10" max="10" width="4.42578125" style="103" customWidth="1" outlineLevel="1"/>
    <col min="11" max="13" width="4.42578125" style="101" customWidth="1" outlineLevel="1"/>
    <col min="14" max="14" width="4.42578125" style="103" customWidth="1" outlineLevel="1"/>
    <col min="15" max="15" width="4.42578125" style="101" customWidth="1" outlineLevel="1"/>
    <col min="16" max="16" width="4.42578125" style="103" customWidth="1" outlineLevel="1"/>
    <col min="17" max="17" width="4.42578125" style="101" customWidth="1" outlineLevel="1"/>
    <col min="18" max="18" width="42" style="104" customWidth="1"/>
    <col min="19" max="19" width="6.5703125" style="109" bestFit="1" customWidth="1"/>
    <col min="20" max="20" width="93.140625" style="32" customWidth="1"/>
    <col min="21" max="21" width="75.85546875" style="33" customWidth="1"/>
    <col min="22" max="16384" width="11.42578125" style="31"/>
  </cols>
  <sheetData>
    <row r="1" spans="1:21" s="2" customFormat="1" ht="24" thickBot="1" x14ac:dyDescent="0.3">
      <c r="A1" s="139" t="s">
        <v>0</v>
      </c>
      <c r="B1" s="1"/>
      <c r="C1" s="106"/>
      <c r="D1" s="1"/>
      <c r="E1" s="1"/>
      <c r="F1" s="1"/>
      <c r="G1" s="1"/>
      <c r="H1" s="1"/>
      <c r="I1" s="1"/>
      <c r="J1" s="1"/>
      <c r="K1" s="1"/>
      <c r="L1" s="1"/>
      <c r="M1" s="1"/>
      <c r="N1" s="1"/>
      <c r="O1" s="1"/>
      <c r="P1" s="1"/>
      <c r="Q1" s="1"/>
      <c r="R1" s="106"/>
      <c r="S1" s="108"/>
      <c r="T1" s="3"/>
      <c r="U1" s="105"/>
    </row>
    <row r="2" spans="1:21" s="2" customFormat="1" x14ac:dyDescent="0.25">
      <c r="A2" s="140"/>
      <c r="B2" s="4"/>
      <c r="C2" s="5"/>
      <c r="D2" s="149" t="s">
        <v>1</v>
      </c>
      <c r="E2" s="150"/>
      <c r="F2" s="151"/>
      <c r="G2" s="6"/>
      <c r="H2" s="152" t="s">
        <v>2</v>
      </c>
      <c r="I2" s="153"/>
      <c r="J2" s="152" t="s">
        <v>3</v>
      </c>
      <c r="K2" s="154"/>
      <c r="L2" s="154"/>
      <c r="M2" s="153"/>
      <c r="N2" s="152" t="s">
        <v>4</v>
      </c>
      <c r="O2" s="153"/>
      <c r="P2" s="149" t="s">
        <v>5</v>
      </c>
      <c r="Q2" s="151"/>
      <c r="R2" s="7"/>
      <c r="S2" s="107"/>
      <c r="T2" s="3"/>
      <c r="U2" s="105"/>
    </row>
    <row r="3" spans="1:21" s="20" customFormat="1" ht="61.5" thickBot="1" x14ac:dyDescent="0.3">
      <c r="A3" s="8" t="s">
        <v>6</v>
      </c>
      <c r="B3" s="9" t="s">
        <v>7</v>
      </c>
      <c r="C3" s="10" t="s">
        <v>8</v>
      </c>
      <c r="D3" s="11" t="s">
        <v>9</v>
      </c>
      <c r="E3" s="12" t="s">
        <v>10</v>
      </c>
      <c r="F3" s="12" t="s">
        <v>11</v>
      </c>
      <c r="G3" s="13" t="s">
        <v>12</v>
      </c>
      <c r="H3" s="14" t="s">
        <v>13</v>
      </c>
      <c r="I3" s="15" t="s">
        <v>14</v>
      </c>
      <c r="J3" s="11" t="s">
        <v>15</v>
      </c>
      <c r="K3" s="12" t="s">
        <v>16</v>
      </c>
      <c r="L3" s="12" t="s">
        <v>17</v>
      </c>
      <c r="M3" s="12" t="s">
        <v>18</v>
      </c>
      <c r="N3" s="16" t="s">
        <v>19</v>
      </c>
      <c r="O3" s="17" t="s">
        <v>20</v>
      </c>
      <c r="P3" s="18" t="s">
        <v>21</v>
      </c>
      <c r="Q3" s="19" t="s">
        <v>22</v>
      </c>
      <c r="R3" s="111" t="s">
        <v>23</v>
      </c>
      <c r="S3" s="123" t="s">
        <v>192</v>
      </c>
      <c r="T3" s="124" t="s">
        <v>24</v>
      </c>
      <c r="U3" s="124" t="s">
        <v>168</v>
      </c>
    </row>
    <row r="4" spans="1:21" ht="345" customHeight="1" thickBot="1" x14ac:dyDescent="0.3">
      <c r="A4" s="141">
        <v>13</v>
      </c>
      <c r="B4" s="21">
        <v>3582</v>
      </c>
      <c r="C4" s="22" t="s">
        <v>25</v>
      </c>
      <c r="D4" s="23" t="s">
        <v>26</v>
      </c>
      <c r="E4" s="24"/>
      <c r="F4" s="25"/>
      <c r="G4" s="26"/>
      <c r="H4" s="23"/>
      <c r="I4" s="25" t="s">
        <v>27</v>
      </c>
      <c r="J4" s="27"/>
      <c r="K4" s="24" t="s">
        <v>27</v>
      </c>
      <c r="L4" s="24"/>
      <c r="M4" s="28" t="s">
        <v>27</v>
      </c>
      <c r="N4" s="29"/>
      <c r="O4" s="30" t="s">
        <v>27</v>
      </c>
      <c r="P4" s="23" t="s">
        <v>27</v>
      </c>
      <c r="Q4" s="25"/>
      <c r="R4" s="112" t="s">
        <v>28</v>
      </c>
      <c r="S4" s="125"/>
      <c r="T4" s="126" t="s">
        <v>29</v>
      </c>
      <c r="U4" s="127" t="s">
        <v>193</v>
      </c>
    </row>
    <row r="5" spans="1:21" ht="90" x14ac:dyDescent="0.25">
      <c r="A5" s="142">
        <v>27</v>
      </c>
      <c r="B5" s="45">
        <v>3634</v>
      </c>
      <c r="C5" s="46" t="s">
        <v>126</v>
      </c>
      <c r="D5" s="47"/>
      <c r="E5" s="48" t="s">
        <v>27</v>
      </c>
      <c r="F5" s="49"/>
      <c r="G5" s="50"/>
      <c r="H5" s="47"/>
      <c r="I5" s="73" t="s">
        <v>27</v>
      </c>
      <c r="J5" s="52"/>
      <c r="K5" s="48"/>
      <c r="L5" s="48"/>
      <c r="M5" s="53" t="s">
        <v>27</v>
      </c>
      <c r="N5" s="54" t="s">
        <v>27</v>
      </c>
      <c r="O5" s="55"/>
      <c r="P5" s="47"/>
      <c r="Q5" s="49" t="s">
        <v>27</v>
      </c>
      <c r="R5" s="113"/>
      <c r="S5" s="125"/>
      <c r="T5" s="126" t="s">
        <v>127</v>
      </c>
      <c r="U5" s="127" t="s">
        <v>186</v>
      </c>
    </row>
    <row r="6" spans="1:21" x14ac:dyDescent="0.25">
      <c r="A6" s="143">
        <v>33</v>
      </c>
      <c r="B6" s="34">
        <v>3588</v>
      </c>
      <c r="C6" s="35" t="s">
        <v>30</v>
      </c>
      <c r="D6" s="36"/>
      <c r="E6" s="37" t="s">
        <v>27</v>
      </c>
      <c r="F6" s="38"/>
      <c r="G6" s="39"/>
      <c r="H6" s="40" t="s">
        <v>27</v>
      </c>
      <c r="I6" s="38"/>
      <c r="J6" s="41"/>
      <c r="K6" s="37"/>
      <c r="L6" s="37"/>
      <c r="M6" s="42" t="s">
        <v>27</v>
      </c>
      <c r="N6" s="43"/>
      <c r="O6" s="44"/>
      <c r="P6" s="36"/>
      <c r="Q6" s="38" t="s">
        <v>27</v>
      </c>
      <c r="R6" s="114" t="s">
        <v>31</v>
      </c>
      <c r="S6" s="128"/>
      <c r="T6" s="126" t="s">
        <v>32</v>
      </c>
      <c r="U6" s="127" t="s">
        <v>169</v>
      </c>
    </row>
    <row r="7" spans="1:21" ht="129.75" customHeight="1" x14ac:dyDescent="0.25">
      <c r="A7" s="142">
        <v>28</v>
      </c>
      <c r="B7" s="45" t="s">
        <v>33</v>
      </c>
      <c r="C7" s="46" t="s">
        <v>34</v>
      </c>
      <c r="D7" s="47"/>
      <c r="E7" s="48"/>
      <c r="F7" s="49"/>
      <c r="G7" s="50"/>
      <c r="H7" s="51" t="s">
        <v>27</v>
      </c>
      <c r="I7" s="49"/>
      <c r="J7" s="52"/>
      <c r="K7" s="48"/>
      <c r="L7" s="48"/>
      <c r="M7" s="53" t="s">
        <v>27</v>
      </c>
      <c r="N7" s="54"/>
      <c r="O7" s="55"/>
      <c r="P7" s="47"/>
      <c r="Q7" s="49" t="s">
        <v>27</v>
      </c>
      <c r="R7" s="115" t="s">
        <v>35</v>
      </c>
      <c r="S7" s="128"/>
      <c r="T7" s="126" t="s">
        <v>36</v>
      </c>
      <c r="U7" s="127" t="s">
        <v>170</v>
      </c>
    </row>
    <row r="8" spans="1:21" ht="60" x14ac:dyDescent="0.25">
      <c r="A8" s="142">
        <v>23</v>
      </c>
      <c r="B8" s="45" t="s">
        <v>37</v>
      </c>
      <c r="C8" s="46" t="s">
        <v>38</v>
      </c>
      <c r="D8" s="47"/>
      <c r="E8" s="48"/>
      <c r="F8" s="49" t="s">
        <v>27</v>
      </c>
      <c r="G8" s="50"/>
      <c r="H8" s="51" t="s">
        <v>27</v>
      </c>
      <c r="I8" s="49"/>
      <c r="J8" s="52"/>
      <c r="K8" s="48" t="s">
        <v>27</v>
      </c>
      <c r="L8" s="48"/>
      <c r="M8" s="53" t="s">
        <v>27</v>
      </c>
      <c r="N8" s="54" t="s">
        <v>27</v>
      </c>
      <c r="O8" s="55"/>
      <c r="P8" s="47"/>
      <c r="Q8" s="49" t="s">
        <v>27</v>
      </c>
      <c r="R8" s="116" t="s">
        <v>39</v>
      </c>
      <c r="S8" s="128"/>
      <c r="T8" s="126" t="s">
        <v>32</v>
      </c>
      <c r="U8" s="127"/>
    </row>
    <row r="9" spans="1:21" ht="45" x14ac:dyDescent="0.25">
      <c r="A9" s="142">
        <v>22</v>
      </c>
      <c r="B9" s="45" t="s">
        <v>40</v>
      </c>
      <c r="C9" s="46" t="s">
        <v>41</v>
      </c>
      <c r="D9" s="47"/>
      <c r="E9" s="48"/>
      <c r="F9" s="49"/>
      <c r="G9" s="50"/>
      <c r="H9" s="51" t="s">
        <v>27</v>
      </c>
      <c r="I9" s="49"/>
      <c r="J9" s="52" t="s">
        <v>27</v>
      </c>
      <c r="K9" s="48"/>
      <c r="L9" s="48"/>
      <c r="M9" s="53"/>
      <c r="N9" s="54"/>
      <c r="O9" s="55"/>
      <c r="P9" s="47"/>
      <c r="Q9" s="49" t="s">
        <v>27</v>
      </c>
      <c r="R9" s="115" t="s">
        <v>42</v>
      </c>
      <c r="S9" s="128">
        <v>0.5</v>
      </c>
      <c r="T9" s="129" t="s">
        <v>43</v>
      </c>
      <c r="U9" s="127"/>
    </row>
    <row r="10" spans="1:21" ht="161.25" customHeight="1" x14ac:dyDescent="0.25">
      <c r="A10" s="142">
        <v>20</v>
      </c>
      <c r="B10" s="45">
        <v>3494</v>
      </c>
      <c r="C10" s="46" t="s">
        <v>44</v>
      </c>
      <c r="D10" s="47"/>
      <c r="E10" s="48"/>
      <c r="F10" s="49"/>
      <c r="G10" s="56" t="s">
        <v>45</v>
      </c>
      <c r="H10" s="51" t="s">
        <v>27</v>
      </c>
      <c r="I10" s="49"/>
      <c r="J10" s="52"/>
      <c r="K10" s="48"/>
      <c r="L10" s="48"/>
      <c r="M10" s="53" t="s">
        <v>27</v>
      </c>
      <c r="N10" s="54" t="s">
        <v>27</v>
      </c>
      <c r="O10" s="55"/>
      <c r="P10" s="47"/>
      <c r="Q10" s="49" t="s">
        <v>27</v>
      </c>
      <c r="R10" s="115" t="s">
        <v>46</v>
      </c>
      <c r="S10" s="128"/>
      <c r="T10" s="126" t="s">
        <v>47</v>
      </c>
      <c r="U10" s="127" t="s">
        <v>171</v>
      </c>
    </row>
    <row r="11" spans="1:21" s="59" customFormat="1" x14ac:dyDescent="0.25">
      <c r="A11" s="142">
        <v>14</v>
      </c>
      <c r="B11" s="57" t="s">
        <v>55</v>
      </c>
      <c r="C11" s="58" t="s">
        <v>56</v>
      </c>
      <c r="D11" s="47"/>
      <c r="E11" s="48" t="s">
        <v>27</v>
      </c>
      <c r="F11" s="49"/>
      <c r="G11" s="50"/>
      <c r="H11" s="51" t="s">
        <v>27</v>
      </c>
      <c r="I11" s="49"/>
      <c r="J11" s="52" t="s">
        <v>27</v>
      </c>
      <c r="K11" s="48"/>
      <c r="L11" s="48"/>
      <c r="M11" s="53" t="s">
        <v>27</v>
      </c>
      <c r="N11" s="54" t="s">
        <v>27</v>
      </c>
      <c r="O11" s="55"/>
      <c r="P11" s="47"/>
      <c r="Q11" s="49" t="s">
        <v>27</v>
      </c>
      <c r="R11" s="115"/>
      <c r="S11" s="128"/>
      <c r="T11" s="126" t="s">
        <v>57</v>
      </c>
      <c r="U11" s="130" t="s">
        <v>173</v>
      </c>
    </row>
    <row r="12" spans="1:21" x14ac:dyDescent="0.25">
      <c r="A12" s="142">
        <v>17</v>
      </c>
      <c r="B12" s="45">
        <v>3465</v>
      </c>
      <c r="C12" s="46" t="s">
        <v>48</v>
      </c>
      <c r="D12" s="47"/>
      <c r="E12" s="48" t="s">
        <v>27</v>
      </c>
      <c r="F12" s="49"/>
      <c r="G12" s="50"/>
      <c r="H12" s="51" t="s">
        <v>27</v>
      </c>
      <c r="I12" s="49"/>
      <c r="J12" s="52" t="s">
        <v>27</v>
      </c>
      <c r="K12" s="48"/>
      <c r="L12" s="48"/>
      <c r="M12" s="53" t="s">
        <v>27</v>
      </c>
      <c r="N12" s="54"/>
      <c r="O12" s="55"/>
      <c r="P12" s="47" t="s">
        <v>27</v>
      </c>
      <c r="Q12" s="49"/>
      <c r="R12" s="115" t="s">
        <v>49</v>
      </c>
      <c r="S12" s="128">
        <v>4.5</v>
      </c>
      <c r="T12" s="129" t="s">
        <v>50</v>
      </c>
      <c r="U12" s="127" t="s">
        <v>172</v>
      </c>
    </row>
    <row r="13" spans="1:21" ht="60" x14ac:dyDescent="0.25">
      <c r="A13" s="142">
        <v>6</v>
      </c>
      <c r="B13" s="45">
        <v>3419</v>
      </c>
      <c r="C13" s="46" t="s">
        <v>51</v>
      </c>
      <c r="D13" s="47"/>
      <c r="E13" s="48" t="s">
        <v>27</v>
      </c>
      <c r="F13" s="49"/>
      <c r="G13" s="50" t="s">
        <v>52</v>
      </c>
      <c r="H13" s="51" t="s">
        <v>27</v>
      </c>
      <c r="I13" s="49"/>
      <c r="J13" s="52"/>
      <c r="K13" s="48"/>
      <c r="L13" s="48"/>
      <c r="M13" s="53"/>
      <c r="N13" s="54"/>
      <c r="O13" s="55"/>
      <c r="P13" s="47"/>
      <c r="Q13" s="49" t="s">
        <v>27</v>
      </c>
      <c r="R13" s="115" t="s">
        <v>53</v>
      </c>
      <c r="S13" s="128"/>
      <c r="T13" s="126" t="s">
        <v>54</v>
      </c>
      <c r="U13" s="127" t="s">
        <v>178</v>
      </c>
    </row>
    <row r="14" spans="1:21" ht="134.25" customHeight="1" x14ac:dyDescent="0.25">
      <c r="A14" s="142">
        <v>11</v>
      </c>
      <c r="B14" s="45">
        <v>3648</v>
      </c>
      <c r="C14" s="46" t="s">
        <v>58</v>
      </c>
      <c r="D14" s="47" t="s">
        <v>27</v>
      </c>
      <c r="E14" s="48"/>
      <c r="F14" s="49"/>
      <c r="G14" s="50"/>
      <c r="H14" s="51" t="s">
        <v>27</v>
      </c>
      <c r="I14" s="49"/>
      <c r="J14" s="52" t="s">
        <v>27</v>
      </c>
      <c r="K14" s="48"/>
      <c r="L14" s="48"/>
      <c r="M14" s="53" t="s">
        <v>27</v>
      </c>
      <c r="N14" s="54"/>
      <c r="O14" s="55"/>
      <c r="P14" s="47"/>
      <c r="Q14" s="49" t="s">
        <v>27</v>
      </c>
      <c r="R14" s="115"/>
      <c r="S14" s="128"/>
      <c r="T14" s="126" t="s">
        <v>160</v>
      </c>
      <c r="U14" s="127" t="s">
        <v>174</v>
      </c>
    </row>
    <row r="15" spans="1:21" ht="139.5" customHeight="1" x14ac:dyDescent="0.25">
      <c r="A15" s="144">
        <v>7</v>
      </c>
      <c r="B15" s="45"/>
      <c r="C15" s="46" t="s">
        <v>59</v>
      </c>
      <c r="D15" s="47"/>
      <c r="E15" s="48" t="s">
        <v>27</v>
      </c>
      <c r="F15" s="49"/>
      <c r="G15" s="50" t="s">
        <v>45</v>
      </c>
      <c r="H15" s="51" t="s">
        <v>27</v>
      </c>
      <c r="I15" s="49"/>
      <c r="J15" s="52" t="s">
        <v>27</v>
      </c>
      <c r="K15" s="48"/>
      <c r="L15" s="48"/>
      <c r="M15" s="53" t="s">
        <v>27</v>
      </c>
      <c r="N15" s="54" t="s">
        <v>27</v>
      </c>
      <c r="O15" s="55"/>
      <c r="P15" s="47" t="s">
        <v>27</v>
      </c>
      <c r="Q15" s="49"/>
      <c r="R15" s="115" t="s">
        <v>60</v>
      </c>
      <c r="S15" s="128">
        <v>21</v>
      </c>
      <c r="T15" s="129" t="s">
        <v>159</v>
      </c>
      <c r="U15" s="127" t="s">
        <v>175</v>
      </c>
    </row>
    <row r="16" spans="1:21" ht="180" x14ac:dyDescent="0.25">
      <c r="A16" s="142">
        <v>5</v>
      </c>
      <c r="B16" s="45" t="s">
        <v>61</v>
      </c>
      <c r="C16" s="46" t="s">
        <v>62</v>
      </c>
      <c r="D16" s="47"/>
      <c r="E16" s="48" t="s">
        <v>27</v>
      </c>
      <c r="F16" s="49"/>
      <c r="G16" s="50"/>
      <c r="H16" s="51" t="s">
        <v>27</v>
      </c>
      <c r="I16" s="49"/>
      <c r="J16" s="52"/>
      <c r="K16" s="48"/>
      <c r="L16" s="48" t="s">
        <v>27</v>
      </c>
      <c r="M16" s="53"/>
      <c r="N16" s="54"/>
      <c r="O16" s="55"/>
      <c r="P16" s="47"/>
      <c r="Q16" s="49" t="s">
        <v>27</v>
      </c>
      <c r="R16" s="115"/>
      <c r="S16" s="128">
        <v>0</v>
      </c>
      <c r="T16" s="131" t="s">
        <v>161</v>
      </c>
      <c r="U16" s="127" t="s">
        <v>176</v>
      </c>
    </row>
    <row r="17" spans="1:21" ht="135" x14ac:dyDescent="0.25">
      <c r="A17" s="142">
        <v>4</v>
      </c>
      <c r="B17" s="45" t="s">
        <v>63</v>
      </c>
      <c r="C17" s="46" t="s">
        <v>64</v>
      </c>
      <c r="D17" s="47"/>
      <c r="E17" s="48"/>
      <c r="F17" s="49"/>
      <c r="G17" s="50"/>
      <c r="H17" s="51" t="s">
        <v>27</v>
      </c>
      <c r="I17" s="49"/>
      <c r="J17" s="52" t="s">
        <v>27</v>
      </c>
      <c r="K17" s="48"/>
      <c r="L17" s="48"/>
      <c r="M17" s="53"/>
      <c r="N17" s="54"/>
      <c r="O17" s="55"/>
      <c r="P17" s="47"/>
      <c r="Q17" s="49" t="s">
        <v>27</v>
      </c>
      <c r="R17" s="115" t="s">
        <v>65</v>
      </c>
      <c r="S17" s="128"/>
      <c r="T17" s="126" t="s">
        <v>162</v>
      </c>
      <c r="U17" s="127" t="s">
        <v>177</v>
      </c>
    </row>
    <row r="18" spans="1:21" ht="30" x14ac:dyDescent="0.25">
      <c r="A18" s="145">
        <v>54</v>
      </c>
      <c r="B18" s="45">
        <v>3621</v>
      </c>
      <c r="C18" s="58" t="s">
        <v>66</v>
      </c>
      <c r="D18" s="47" t="s">
        <v>27</v>
      </c>
      <c r="E18" s="48"/>
      <c r="F18" s="49"/>
      <c r="G18" s="50"/>
      <c r="H18" s="51" t="s">
        <v>27</v>
      </c>
      <c r="I18" s="49"/>
      <c r="J18" s="52"/>
      <c r="K18" s="48" t="s">
        <v>27</v>
      </c>
      <c r="L18" s="48"/>
      <c r="M18" s="53"/>
      <c r="N18" s="54"/>
      <c r="O18" s="55"/>
      <c r="P18" s="47"/>
      <c r="Q18" s="49" t="s">
        <v>27</v>
      </c>
      <c r="R18" s="115"/>
      <c r="S18" s="128"/>
      <c r="T18" s="132" t="s">
        <v>67</v>
      </c>
      <c r="U18" s="133" t="s">
        <v>179</v>
      </c>
    </row>
    <row r="19" spans="1:21" ht="30" x14ac:dyDescent="0.25">
      <c r="A19" s="145">
        <v>53</v>
      </c>
      <c r="B19" s="45">
        <v>3415</v>
      </c>
      <c r="C19" s="46" t="s">
        <v>68</v>
      </c>
      <c r="D19" s="47" t="s">
        <v>27</v>
      </c>
      <c r="E19" s="48"/>
      <c r="F19" s="49"/>
      <c r="G19" s="50"/>
      <c r="H19" s="51" t="s">
        <v>27</v>
      </c>
      <c r="I19" s="49"/>
      <c r="J19" s="52"/>
      <c r="K19" s="48" t="s">
        <v>27</v>
      </c>
      <c r="L19" s="48" t="s">
        <v>27</v>
      </c>
      <c r="M19" s="53"/>
      <c r="N19" s="54" t="s">
        <v>27</v>
      </c>
      <c r="O19" s="55"/>
      <c r="P19" s="47" t="s">
        <v>27</v>
      </c>
      <c r="Q19" s="49"/>
      <c r="R19" s="115" t="s">
        <v>69</v>
      </c>
      <c r="S19" s="128">
        <v>0</v>
      </c>
      <c r="T19" s="131" t="s">
        <v>70</v>
      </c>
      <c r="U19" s="127"/>
    </row>
    <row r="20" spans="1:21" ht="75" x14ac:dyDescent="0.25">
      <c r="A20" s="146">
        <v>1</v>
      </c>
      <c r="B20" s="45" t="s">
        <v>71</v>
      </c>
      <c r="C20" s="46" t="s">
        <v>72</v>
      </c>
      <c r="D20" s="47"/>
      <c r="E20" s="48"/>
      <c r="F20" s="49"/>
      <c r="G20" s="50"/>
      <c r="H20" s="51" t="s">
        <v>27</v>
      </c>
      <c r="I20" s="49"/>
      <c r="J20" s="52" t="s">
        <v>27</v>
      </c>
      <c r="K20" s="48"/>
      <c r="L20" s="48"/>
      <c r="M20" s="53" t="s">
        <v>27</v>
      </c>
      <c r="N20" s="54" t="s">
        <v>27</v>
      </c>
      <c r="O20" s="55"/>
      <c r="P20" s="47"/>
      <c r="Q20" s="49" t="s">
        <v>27</v>
      </c>
      <c r="R20" s="115"/>
      <c r="S20" s="128">
        <v>2</v>
      </c>
      <c r="T20" s="129" t="s">
        <v>163</v>
      </c>
      <c r="U20" s="127"/>
    </row>
    <row r="21" spans="1:21" ht="30" x14ac:dyDescent="0.25">
      <c r="A21" s="142">
        <v>52</v>
      </c>
      <c r="B21" s="45">
        <v>3517</v>
      </c>
      <c r="C21" s="46" t="s">
        <v>73</v>
      </c>
      <c r="D21" s="47"/>
      <c r="E21" s="48"/>
      <c r="F21" s="49"/>
      <c r="G21" s="50"/>
      <c r="H21" s="51" t="s">
        <v>27</v>
      </c>
      <c r="I21" s="49"/>
      <c r="J21" s="52"/>
      <c r="K21" s="48" t="s">
        <v>27</v>
      </c>
      <c r="L21" s="48" t="s">
        <v>27</v>
      </c>
      <c r="M21" s="53"/>
      <c r="N21" s="54"/>
      <c r="O21" s="55"/>
      <c r="P21" s="47"/>
      <c r="Q21" s="49"/>
      <c r="R21" s="116" t="s">
        <v>74</v>
      </c>
      <c r="S21" s="128"/>
      <c r="T21" s="126"/>
      <c r="U21" s="127"/>
    </row>
    <row r="22" spans="1:21" ht="144.75" customHeight="1" x14ac:dyDescent="0.25">
      <c r="A22" s="142">
        <v>51</v>
      </c>
      <c r="B22" s="45">
        <v>3516</v>
      </c>
      <c r="C22" s="46" t="s">
        <v>75</v>
      </c>
      <c r="D22" s="47"/>
      <c r="E22" s="48"/>
      <c r="F22" s="49"/>
      <c r="G22" s="50"/>
      <c r="H22" s="51" t="s">
        <v>27</v>
      </c>
      <c r="I22" s="49"/>
      <c r="J22" s="52"/>
      <c r="K22" s="48" t="s">
        <v>27</v>
      </c>
      <c r="L22" s="48" t="s">
        <v>27</v>
      </c>
      <c r="M22" s="53"/>
      <c r="N22" s="54" t="s">
        <v>27</v>
      </c>
      <c r="O22" s="55"/>
      <c r="P22" s="47" t="s">
        <v>27</v>
      </c>
      <c r="Q22" s="49"/>
      <c r="R22" s="115" t="s">
        <v>76</v>
      </c>
      <c r="S22" s="128"/>
      <c r="T22" s="132" t="s">
        <v>164</v>
      </c>
      <c r="U22" s="133" t="s">
        <v>180</v>
      </c>
    </row>
    <row r="23" spans="1:21" ht="180" x14ac:dyDescent="0.25">
      <c r="A23" s="142">
        <v>50</v>
      </c>
      <c r="B23" s="57" t="s">
        <v>77</v>
      </c>
      <c r="C23" s="58" t="s">
        <v>78</v>
      </c>
      <c r="D23" s="47"/>
      <c r="E23" s="48"/>
      <c r="F23" s="49" t="s">
        <v>27</v>
      </c>
      <c r="G23" s="50"/>
      <c r="H23" s="51" t="s">
        <v>27</v>
      </c>
      <c r="I23" s="49"/>
      <c r="J23" s="52" t="s">
        <v>27</v>
      </c>
      <c r="K23" s="48"/>
      <c r="L23" s="48"/>
      <c r="M23" s="53"/>
      <c r="N23" s="54" t="s">
        <v>27</v>
      </c>
      <c r="O23" s="55"/>
      <c r="P23" s="47"/>
      <c r="Q23" s="49" t="s">
        <v>27</v>
      </c>
      <c r="R23" s="115"/>
      <c r="S23" s="128"/>
      <c r="T23" s="126" t="s">
        <v>165</v>
      </c>
      <c r="U23" s="127" t="s">
        <v>187</v>
      </c>
    </row>
    <row r="24" spans="1:21" ht="126" customHeight="1" x14ac:dyDescent="0.25">
      <c r="A24" s="142">
        <v>49</v>
      </c>
      <c r="B24" s="57">
        <v>3647</v>
      </c>
      <c r="C24" s="58" t="s">
        <v>79</v>
      </c>
      <c r="D24" s="47"/>
      <c r="E24" s="48" t="s">
        <v>27</v>
      </c>
      <c r="F24" s="49"/>
      <c r="G24" s="50"/>
      <c r="H24" s="51" t="s">
        <v>27</v>
      </c>
      <c r="I24" s="49"/>
      <c r="J24" s="52"/>
      <c r="K24" s="48"/>
      <c r="L24" s="48"/>
      <c r="M24" s="53" t="s">
        <v>27</v>
      </c>
      <c r="N24" s="54"/>
      <c r="O24" s="55"/>
      <c r="P24" s="47"/>
      <c r="Q24" s="49" t="s">
        <v>27</v>
      </c>
      <c r="R24" s="115" t="s">
        <v>80</v>
      </c>
      <c r="S24" s="128">
        <v>20</v>
      </c>
      <c r="T24" s="129" t="s">
        <v>166</v>
      </c>
      <c r="U24" s="127"/>
    </row>
    <row r="25" spans="1:21" ht="45" x14ac:dyDescent="0.25">
      <c r="A25" s="142">
        <v>48</v>
      </c>
      <c r="B25" s="57" t="s">
        <v>81</v>
      </c>
      <c r="C25" s="58" t="s">
        <v>82</v>
      </c>
      <c r="D25" s="47" t="s">
        <v>27</v>
      </c>
      <c r="E25" s="48"/>
      <c r="F25" s="49"/>
      <c r="G25" s="50"/>
      <c r="H25" s="51" t="s">
        <v>27</v>
      </c>
      <c r="I25" s="49"/>
      <c r="J25" s="52" t="s">
        <v>27</v>
      </c>
      <c r="K25" s="48"/>
      <c r="L25" s="48"/>
      <c r="M25" s="53"/>
      <c r="N25" s="54"/>
      <c r="O25" s="55"/>
      <c r="P25" s="47" t="s">
        <v>27</v>
      </c>
      <c r="Q25" s="49"/>
      <c r="R25" s="115" t="s">
        <v>83</v>
      </c>
      <c r="S25" s="128">
        <v>0.5</v>
      </c>
      <c r="T25" s="129" t="s">
        <v>43</v>
      </c>
      <c r="U25" s="127"/>
    </row>
    <row r="26" spans="1:21" ht="30" x14ac:dyDescent="0.25">
      <c r="A26" s="142">
        <v>47</v>
      </c>
      <c r="B26" s="45" t="s">
        <v>84</v>
      </c>
      <c r="C26" s="46" t="s">
        <v>85</v>
      </c>
      <c r="D26" s="47"/>
      <c r="E26" s="48" t="s">
        <v>27</v>
      </c>
      <c r="F26" s="49"/>
      <c r="G26" s="50"/>
      <c r="H26" s="51" t="s">
        <v>27</v>
      </c>
      <c r="I26" s="49"/>
      <c r="J26" s="52" t="s">
        <v>27</v>
      </c>
      <c r="K26" s="48"/>
      <c r="L26" s="48"/>
      <c r="M26" s="53"/>
      <c r="N26" s="54"/>
      <c r="O26" s="55"/>
      <c r="P26" s="47"/>
      <c r="Q26" s="49" t="s">
        <v>27</v>
      </c>
      <c r="R26" s="115"/>
      <c r="S26" s="128">
        <v>12</v>
      </c>
      <c r="T26" s="129" t="s">
        <v>86</v>
      </c>
      <c r="U26" s="127"/>
    </row>
    <row r="27" spans="1:21" ht="45" x14ac:dyDescent="0.25">
      <c r="A27" s="142">
        <v>46</v>
      </c>
      <c r="B27" s="45">
        <v>3491</v>
      </c>
      <c r="C27" s="46" t="s">
        <v>87</v>
      </c>
      <c r="D27" s="47" t="s">
        <v>27</v>
      </c>
      <c r="E27" s="48"/>
      <c r="F27" s="49"/>
      <c r="G27" s="50"/>
      <c r="H27" s="51" t="s">
        <v>27</v>
      </c>
      <c r="I27" s="49"/>
      <c r="J27" s="52"/>
      <c r="K27" s="48"/>
      <c r="L27" s="48"/>
      <c r="M27" s="53" t="s">
        <v>27</v>
      </c>
      <c r="N27" s="54" t="s">
        <v>27</v>
      </c>
      <c r="O27" s="55"/>
      <c r="P27" s="47"/>
      <c r="Q27" s="49" t="s">
        <v>27</v>
      </c>
      <c r="R27" s="115"/>
      <c r="S27" s="128">
        <v>0</v>
      </c>
      <c r="T27" s="131" t="s">
        <v>88</v>
      </c>
      <c r="U27" s="127"/>
    </row>
    <row r="28" spans="1:21" ht="30" x14ac:dyDescent="0.25">
      <c r="A28" s="142">
        <v>45</v>
      </c>
      <c r="B28" s="45">
        <v>3519</v>
      </c>
      <c r="C28" s="46" t="s">
        <v>89</v>
      </c>
      <c r="D28" s="47"/>
      <c r="E28" s="48"/>
      <c r="F28" s="49"/>
      <c r="G28" s="50" t="s">
        <v>90</v>
      </c>
      <c r="H28" s="51" t="s">
        <v>27</v>
      </c>
      <c r="I28" s="49"/>
      <c r="J28" s="52"/>
      <c r="K28" s="48"/>
      <c r="L28" s="48"/>
      <c r="M28" s="53" t="s">
        <v>27</v>
      </c>
      <c r="N28" s="54"/>
      <c r="O28" s="55"/>
      <c r="P28" s="47"/>
      <c r="Q28" s="49"/>
      <c r="R28" s="116" t="s">
        <v>91</v>
      </c>
      <c r="S28" s="128"/>
      <c r="T28" s="126"/>
      <c r="U28" s="127"/>
    </row>
    <row r="29" spans="1:21" ht="90" x14ac:dyDescent="0.25">
      <c r="A29" s="142">
        <v>44</v>
      </c>
      <c r="B29" s="45">
        <v>3482</v>
      </c>
      <c r="C29" s="46" t="s">
        <v>92</v>
      </c>
      <c r="D29" s="47"/>
      <c r="E29" s="48"/>
      <c r="F29" s="49"/>
      <c r="G29" s="50"/>
      <c r="H29" s="51" t="s">
        <v>27</v>
      </c>
      <c r="I29" s="49"/>
      <c r="J29" s="52" t="s">
        <v>27</v>
      </c>
      <c r="K29" s="48"/>
      <c r="L29" s="48"/>
      <c r="M29" s="53"/>
      <c r="N29" s="54"/>
      <c r="O29" s="55"/>
      <c r="P29" s="60" t="s">
        <v>27</v>
      </c>
      <c r="Q29" s="49"/>
      <c r="R29" s="115" t="s">
        <v>93</v>
      </c>
      <c r="S29" s="128">
        <v>15</v>
      </c>
      <c r="T29" s="129" t="s">
        <v>94</v>
      </c>
      <c r="U29" s="127"/>
    </row>
    <row r="30" spans="1:21" x14ac:dyDescent="0.25">
      <c r="A30" s="142">
        <v>43</v>
      </c>
      <c r="B30" s="45">
        <v>3547</v>
      </c>
      <c r="C30" s="46" t="s">
        <v>95</v>
      </c>
      <c r="D30" s="47"/>
      <c r="E30" s="48"/>
      <c r="F30" s="49" t="s">
        <v>27</v>
      </c>
      <c r="G30" s="50"/>
      <c r="H30" s="51" t="s">
        <v>27</v>
      </c>
      <c r="I30" s="49"/>
      <c r="J30" s="52"/>
      <c r="K30" s="48"/>
      <c r="L30" s="48"/>
      <c r="M30" s="53"/>
      <c r="N30" s="54"/>
      <c r="O30" s="55"/>
      <c r="P30" s="47"/>
      <c r="Q30" s="49"/>
      <c r="R30" s="116" t="s">
        <v>96</v>
      </c>
      <c r="S30" s="128"/>
      <c r="T30" s="126"/>
      <c r="U30" s="127"/>
    </row>
    <row r="31" spans="1:21" x14ac:dyDescent="0.25">
      <c r="A31" s="142">
        <v>42</v>
      </c>
      <c r="B31" s="45" t="s">
        <v>97</v>
      </c>
      <c r="C31" s="46" t="s">
        <v>98</v>
      </c>
      <c r="D31" s="47"/>
      <c r="E31" s="48" t="s">
        <v>27</v>
      </c>
      <c r="F31" s="49"/>
      <c r="G31" s="50"/>
      <c r="H31" s="51" t="s">
        <v>27</v>
      </c>
      <c r="I31" s="49"/>
      <c r="J31" s="52" t="s">
        <v>27</v>
      </c>
      <c r="K31" s="48"/>
      <c r="L31" s="48"/>
      <c r="M31" s="53"/>
      <c r="N31" s="54"/>
      <c r="O31" s="55"/>
      <c r="P31" s="47" t="s">
        <v>27</v>
      </c>
      <c r="Q31" s="49"/>
      <c r="R31" s="115" t="s">
        <v>99</v>
      </c>
      <c r="S31" s="128"/>
      <c r="T31" s="126" t="s">
        <v>100</v>
      </c>
      <c r="U31" s="127"/>
    </row>
    <row r="32" spans="1:21" x14ac:dyDescent="0.25">
      <c r="A32" s="142">
        <v>41</v>
      </c>
      <c r="B32" s="45">
        <v>3550</v>
      </c>
      <c r="C32" s="46" t="s">
        <v>101</v>
      </c>
      <c r="D32" s="47"/>
      <c r="E32" s="48"/>
      <c r="F32" s="49"/>
      <c r="G32" s="50"/>
      <c r="H32" s="51" t="s">
        <v>27</v>
      </c>
      <c r="I32" s="49"/>
      <c r="J32" s="52" t="s">
        <v>27</v>
      </c>
      <c r="K32" s="48"/>
      <c r="L32" s="48"/>
      <c r="M32" s="53"/>
      <c r="N32" s="54"/>
      <c r="O32" s="55"/>
      <c r="P32" s="47"/>
      <c r="Q32" s="49" t="s">
        <v>27</v>
      </c>
      <c r="R32" s="115"/>
      <c r="S32" s="128">
        <v>3</v>
      </c>
      <c r="T32" s="129" t="s">
        <v>102</v>
      </c>
      <c r="U32" s="127"/>
    </row>
    <row r="33" spans="1:21" ht="39.75" customHeight="1" x14ac:dyDescent="0.25">
      <c r="A33" s="142">
        <v>40</v>
      </c>
      <c r="B33" s="45">
        <v>3588</v>
      </c>
      <c r="C33" s="46" t="s">
        <v>103</v>
      </c>
      <c r="D33" s="47"/>
      <c r="E33" s="48" t="s">
        <v>27</v>
      </c>
      <c r="F33" s="49"/>
      <c r="G33" s="50"/>
      <c r="H33" s="51" t="s">
        <v>27</v>
      </c>
      <c r="I33" s="49"/>
      <c r="J33" s="52"/>
      <c r="K33" s="48"/>
      <c r="L33" s="48"/>
      <c r="M33" s="53" t="s">
        <v>27</v>
      </c>
      <c r="N33" s="54"/>
      <c r="O33" s="55"/>
      <c r="P33" s="47"/>
      <c r="Q33" s="49" t="s">
        <v>27</v>
      </c>
      <c r="R33" s="116" t="s">
        <v>104</v>
      </c>
      <c r="S33" s="128"/>
      <c r="T33" s="126"/>
      <c r="U33" s="127"/>
    </row>
    <row r="34" spans="1:21" x14ac:dyDescent="0.25">
      <c r="A34" s="142">
        <v>39</v>
      </c>
      <c r="B34" s="45">
        <v>3520</v>
      </c>
      <c r="C34" s="46" t="s">
        <v>105</v>
      </c>
      <c r="D34" s="47"/>
      <c r="E34" s="48"/>
      <c r="F34" s="49"/>
      <c r="G34" s="50"/>
      <c r="H34" s="51" t="s">
        <v>27</v>
      </c>
      <c r="I34" s="49"/>
      <c r="J34" s="52" t="s">
        <v>27</v>
      </c>
      <c r="K34" s="48"/>
      <c r="L34" s="48"/>
      <c r="M34" s="53"/>
      <c r="N34" s="54"/>
      <c r="O34" s="55"/>
      <c r="P34" s="47"/>
      <c r="Q34" s="49" t="s">
        <v>27</v>
      </c>
      <c r="R34" s="115"/>
      <c r="S34" s="128">
        <v>1.5</v>
      </c>
      <c r="T34" s="129" t="s">
        <v>106</v>
      </c>
      <c r="U34" s="127"/>
    </row>
    <row r="35" spans="1:21" ht="78.75" customHeight="1" x14ac:dyDescent="0.25">
      <c r="A35" s="142">
        <v>38</v>
      </c>
      <c r="B35" s="45">
        <v>3413</v>
      </c>
      <c r="C35" s="46" t="s">
        <v>107</v>
      </c>
      <c r="D35" s="47"/>
      <c r="E35" s="48" t="s">
        <v>27</v>
      </c>
      <c r="F35" s="49"/>
      <c r="G35" s="50"/>
      <c r="H35" s="51" t="s">
        <v>27</v>
      </c>
      <c r="I35" s="49"/>
      <c r="J35" s="52"/>
      <c r="K35" s="48"/>
      <c r="L35" s="48"/>
      <c r="M35" s="53" t="s">
        <v>27</v>
      </c>
      <c r="N35" s="54"/>
      <c r="O35" s="55"/>
      <c r="P35" s="47"/>
      <c r="Q35" s="49" t="s">
        <v>27</v>
      </c>
      <c r="R35" s="115" t="s">
        <v>108</v>
      </c>
      <c r="S35" s="128">
        <v>0.5</v>
      </c>
      <c r="T35" s="129" t="s">
        <v>43</v>
      </c>
      <c r="U35" s="127"/>
    </row>
    <row r="36" spans="1:21" ht="75.75" thickBot="1" x14ac:dyDescent="0.3">
      <c r="A36" s="147">
        <v>37</v>
      </c>
      <c r="B36" s="61" t="s">
        <v>109</v>
      </c>
      <c r="C36" s="62" t="s">
        <v>110</v>
      </c>
      <c r="D36" s="63"/>
      <c r="E36" s="64"/>
      <c r="F36" s="65" t="s">
        <v>26</v>
      </c>
      <c r="G36" s="66"/>
      <c r="H36" s="67" t="s">
        <v>27</v>
      </c>
      <c r="I36" s="65"/>
      <c r="J36" s="68" t="s">
        <v>27</v>
      </c>
      <c r="K36" s="64"/>
      <c r="L36" s="64"/>
      <c r="M36" s="69" t="s">
        <v>27</v>
      </c>
      <c r="N36" s="70"/>
      <c r="O36" s="71"/>
      <c r="P36" s="63" t="s">
        <v>27</v>
      </c>
      <c r="Q36" s="65"/>
      <c r="R36" s="117" t="s">
        <v>111</v>
      </c>
      <c r="S36" s="128">
        <v>15</v>
      </c>
      <c r="T36" s="129" t="s">
        <v>112</v>
      </c>
      <c r="U36" s="127"/>
    </row>
    <row r="37" spans="1:21" ht="75" x14ac:dyDescent="0.25">
      <c r="A37" s="143">
        <v>36</v>
      </c>
      <c r="B37" s="34">
        <v>3417</v>
      </c>
      <c r="C37" s="35" t="s">
        <v>113</v>
      </c>
      <c r="D37" s="36" t="s">
        <v>27</v>
      </c>
      <c r="E37" s="37"/>
      <c r="F37" s="38"/>
      <c r="G37" s="39"/>
      <c r="H37" s="36"/>
      <c r="I37" s="72" t="s">
        <v>27</v>
      </c>
      <c r="J37" s="41"/>
      <c r="K37" s="37" t="s">
        <v>27</v>
      </c>
      <c r="L37" s="37" t="s">
        <v>27</v>
      </c>
      <c r="M37" s="42"/>
      <c r="N37" s="43" t="s">
        <v>27</v>
      </c>
      <c r="O37" s="44"/>
      <c r="P37" s="36"/>
      <c r="Q37" s="38"/>
      <c r="R37" s="118" t="s">
        <v>114</v>
      </c>
      <c r="S37" s="128">
        <v>0</v>
      </c>
      <c r="T37" s="131" t="s">
        <v>115</v>
      </c>
      <c r="U37" s="127" t="s">
        <v>181</v>
      </c>
    </row>
    <row r="38" spans="1:21" ht="45" x14ac:dyDescent="0.25">
      <c r="A38" s="142">
        <v>35</v>
      </c>
      <c r="B38" s="45">
        <v>3670</v>
      </c>
      <c r="C38" s="46" t="s">
        <v>116</v>
      </c>
      <c r="D38" s="47"/>
      <c r="E38" s="48" t="s">
        <v>27</v>
      </c>
      <c r="F38" s="49"/>
      <c r="G38" s="50"/>
      <c r="H38" s="47"/>
      <c r="I38" s="73" t="s">
        <v>27</v>
      </c>
      <c r="J38" s="52"/>
      <c r="K38" s="48"/>
      <c r="L38" s="48"/>
      <c r="M38" s="53" t="s">
        <v>27</v>
      </c>
      <c r="N38" s="54"/>
      <c r="O38" s="55"/>
      <c r="P38" s="47"/>
      <c r="Q38" s="49" t="s">
        <v>27</v>
      </c>
      <c r="R38" s="113"/>
      <c r="S38" s="125"/>
      <c r="T38" s="126" t="s">
        <v>67</v>
      </c>
      <c r="U38" s="127" t="s">
        <v>182</v>
      </c>
    </row>
    <row r="39" spans="1:21" ht="75" x14ac:dyDescent="0.25">
      <c r="A39" s="142">
        <v>34</v>
      </c>
      <c r="B39" s="45">
        <v>3668</v>
      </c>
      <c r="C39" s="46" t="s">
        <v>117</v>
      </c>
      <c r="D39" s="47"/>
      <c r="E39" s="48" t="s">
        <v>27</v>
      </c>
      <c r="F39" s="49"/>
      <c r="G39" s="50"/>
      <c r="H39" s="47"/>
      <c r="I39" s="73" t="s">
        <v>27</v>
      </c>
      <c r="J39" s="52"/>
      <c r="K39" s="48"/>
      <c r="L39" s="48"/>
      <c r="M39" s="53" t="s">
        <v>27</v>
      </c>
      <c r="N39" s="54"/>
      <c r="O39" s="55"/>
      <c r="P39" s="47"/>
      <c r="Q39" s="49"/>
      <c r="R39" s="115"/>
      <c r="S39" s="128">
        <v>2</v>
      </c>
      <c r="T39" s="129" t="s">
        <v>118</v>
      </c>
      <c r="U39" s="127"/>
    </row>
    <row r="40" spans="1:21" ht="45" x14ac:dyDescent="0.25">
      <c r="A40" s="142">
        <v>32</v>
      </c>
      <c r="B40" s="45">
        <v>3667</v>
      </c>
      <c r="C40" s="46" t="s">
        <v>119</v>
      </c>
      <c r="D40" s="47"/>
      <c r="E40" s="48" t="s">
        <v>27</v>
      </c>
      <c r="F40" s="49"/>
      <c r="G40" s="50"/>
      <c r="H40" s="47"/>
      <c r="I40" s="73" t="s">
        <v>27</v>
      </c>
      <c r="J40" s="52"/>
      <c r="K40" s="48"/>
      <c r="L40" s="48"/>
      <c r="M40" s="53" t="s">
        <v>27</v>
      </c>
      <c r="N40" s="54"/>
      <c r="O40" s="55"/>
      <c r="P40" s="47"/>
      <c r="Q40" s="49" t="s">
        <v>27</v>
      </c>
      <c r="R40" s="113"/>
      <c r="S40" s="134">
        <v>6</v>
      </c>
      <c r="T40" s="129" t="s">
        <v>120</v>
      </c>
      <c r="U40" s="127"/>
    </row>
    <row r="41" spans="1:21" ht="120" customHeight="1" x14ac:dyDescent="0.25">
      <c r="A41" s="142">
        <v>31</v>
      </c>
      <c r="B41" s="45">
        <v>3504</v>
      </c>
      <c r="C41" s="46" t="s">
        <v>121</v>
      </c>
      <c r="D41" s="47"/>
      <c r="E41" s="48" t="s">
        <v>27</v>
      </c>
      <c r="F41" s="49"/>
      <c r="G41" s="50"/>
      <c r="H41" s="47"/>
      <c r="I41" s="73" t="s">
        <v>27</v>
      </c>
      <c r="J41" s="52"/>
      <c r="K41" s="48"/>
      <c r="L41" s="48"/>
      <c r="M41" s="53" t="s">
        <v>27</v>
      </c>
      <c r="N41" s="54"/>
      <c r="O41" s="55"/>
      <c r="P41" s="47"/>
      <c r="Q41" s="49" t="s">
        <v>27</v>
      </c>
      <c r="R41" s="115"/>
      <c r="S41" s="128"/>
      <c r="T41" s="132" t="s">
        <v>67</v>
      </c>
      <c r="U41" s="133" t="s">
        <v>183</v>
      </c>
    </row>
    <row r="42" spans="1:21" ht="120" x14ac:dyDescent="0.25">
      <c r="A42" s="142">
        <v>30</v>
      </c>
      <c r="B42" s="45">
        <v>3542</v>
      </c>
      <c r="C42" s="46" t="s">
        <v>122</v>
      </c>
      <c r="D42" s="47" t="s">
        <v>27</v>
      </c>
      <c r="E42" s="48"/>
      <c r="F42" s="49"/>
      <c r="G42" s="50"/>
      <c r="H42" s="47"/>
      <c r="I42" s="73" t="s">
        <v>27</v>
      </c>
      <c r="J42" s="52"/>
      <c r="K42" s="48"/>
      <c r="L42" s="48"/>
      <c r="M42" s="53" t="s">
        <v>27</v>
      </c>
      <c r="N42" s="54"/>
      <c r="O42" s="55"/>
      <c r="P42" s="47"/>
      <c r="Q42" s="49" t="s">
        <v>27</v>
      </c>
      <c r="R42" s="115"/>
      <c r="S42" s="128">
        <v>13</v>
      </c>
      <c r="T42" s="129" t="s">
        <v>123</v>
      </c>
      <c r="U42" s="127" t="s">
        <v>185</v>
      </c>
    </row>
    <row r="43" spans="1:21" ht="120" x14ac:dyDescent="0.25">
      <c r="A43" s="142">
        <v>29</v>
      </c>
      <c r="B43" s="45">
        <v>3484</v>
      </c>
      <c r="C43" s="46" t="s">
        <v>184</v>
      </c>
      <c r="D43" s="47" t="s">
        <v>27</v>
      </c>
      <c r="E43" s="48"/>
      <c r="F43" s="49"/>
      <c r="G43" s="50"/>
      <c r="H43" s="47"/>
      <c r="I43" s="73" t="s">
        <v>27</v>
      </c>
      <c r="J43" s="52"/>
      <c r="K43" s="48"/>
      <c r="L43" s="48"/>
      <c r="M43" s="53" t="s">
        <v>27</v>
      </c>
      <c r="N43" s="54"/>
      <c r="O43" s="55"/>
      <c r="P43" s="47"/>
      <c r="Q43" s="49" t="s">
        <v>27</v>
      </c>
      <c r="R43" s="115" t="s">
        <v>124</v>
      </c>
      <c r="S43" s="128">
        <v>1</v>
      </c>
      <c r="T43" s="129" t="s">
        <v>125</v>
      </c>
      <c r="U43" s="127"/>
    </row>
    <row r="44" spans="1:21" ht="84.75" customHeight="1" x14ac:dyDescent="0.25">
      <c r="A44" s="142">
        <v>26</v>
      </c>
      <c r="B44" s="45">
        <v>3624</v>
      </c>
      <c r="C44" s="46" t="s">
        <v>128</v>
      </c>
      <c r="D44" s="47"/>
      <c r="E44" s="48" t="s">
        <v>27</v>
      </c>
      <c r="F44" s="49"/>
      <c r="G44" s="50"/>
      <c r="H44" s="47"/>
      <c r="I44" s="73" t="s">
        <v>27</v>
      </c>
      <c r="J44" s="52" t="s">
        <v>27</v>
      </c>
      <c r="K44" s="48"/>
      <c r="L44" s="48"/>
      <c r="M44" s="53"/>
      <c r="N44" s="54"/>
      <c r="O44" s="55"/>
      <c r="P44" s="47" t="s">
        <v>27</v>
      </c>
      <c r="Q44" s="49"/>
      <c r="R44" s="115" t="s">
        <v>129</v>
      </c>
      <c r="S44" s="128"/>
      <c r="T44" s="132" t="s">
        <v>67</v>
      </c>
      <c r="U44" s="133" t="s">
        <v>188</v>
      </c>
    </row>
    <row r="45" spans="1:21" ht="177" customHeight="1" x14ac:dyDescent="0.25">
      <c r="A45" s="142">
        <v>25</v>
      </c>
      <c r="B45" s="45">
        <v>3597</v>
      </c>
      <c r="C45" s="46" t="s">
        <v>130</v>
      </c>
      <c r="D45" s="47"/>
      <c r="E45" s="48" t="s">
        <v>27</v>
      </c>
      <c r="F45" s="49"/>
      <c r="G45" s="50"/>
      <c r="H45" s="47"/>
      <c r="I45" s="73" t="s">
        <v>27</v>
      </c>
      <c r="J45" s="52"/>
      <c r="K45" s="48" t="s">
        <v>27</v>
      </c>
      <c r="L45" s="48" t="s">
        <v>27</v>
      </c>
      <c r="M45" s="53"/>
      <c r="N45" s="54" t="s">
        <v>27</v>
      </c>
      <c r="O45" s="55"/>
      <c r="P45" s="47"/>
      <c r="Q45" s="49" t="s">
        <v>27</v>
      </c>
      <c r="R45" s="115"/>
      <c r="S45" s="128"/>
      <c r="T45" s="132" t="s">
        <v>131</v>
      </c>
      <c r="U45" s="133" t="s">
        <v>189</v>
      </c>
    </row>
    <row r="46" spans="1:21" ht="86.25" customHeight="1" x14ac:dyDescent="0.25">
      <c r="A46" s="142">
        <v>24</v>
      </c>
      <c r="B46" s="45">
        <v>3595</v>
      </c>
      <c r="C46" s="46" t="s">
        <v>132</v>
      </c>
      <c r="D46" s="47" t="s">
        <v>27</v>
      </c>
      <c r="E46" s="48" t="s">
        <v>27</v>
      </c>
      <c r="F46" s="49"/>
      <c r="G46" s="50"/>
      <c r="H46" s="47"/>
      <c r="I46" s="73" t="s">
        <v>27</v>
      </c>
      <c r="J46" s="52"/>
      <c r="K46" s="48"/>
      <c r="L46" s="48"/>
      <c r="M46" s="53" t="s">
        <v>27</v>
      </c>
      <c r="N46" s="54"/>
      <c r="O46" s="55"/>
      <c r="P46" s="47" t="s">
        <v>27</v>
      </c>
      <c r="Q46" s="49"/>
      <c r="R46" s="115" t="s">
        <v>133</v>
      </c>
      <c r="S46" s="128">
        <v>2</v>
      </c>
      <c r="T46" s="129" t="s">
        <v>118</v>
      </c>
      <c r="U46" s="127"/>
    </row>
    <row r="47" spans="1:21" ht="45" x14ac:dyDescent="0.25">
      <c r="A47" s="142">
        <v>21</v>
      </c>
      <c r="B47" s="45">
        <v>3607</v>
      </c>
      <c r="C47" s="46" t="s">
        <v>134</v>
      </c>
      <c r="D47" s="47"/>
      <c r="E47" s="48" t="s">
        <v>27</v>
      </c>
      <c r="F47" s="49"/>
      <c r="G47" s="50"/>
      <c r="H47" s="47"/>
      <c r="I47" s="73" t="s">
        <v>27</v>
      </c>
      <c r="J47" s="52" t="s">
        <v>27</v>
      </c>
      <c r="K47" s="48"/>
      <c r="L47" s="48"/>
      <c r="M47" s="53" t="s">
        <v>27</v>
      </c>
      <c r="N47" s="54"/>
      <c r="O47" s="55"/>
      <c r="P47" s="47"/>
      <c r="Q47" s="49" t="s">
        <v>27</v>
      </c>
      <c r="R47" s="113"/>
      <c r="S47" s="125"/>
      <c r="T47" s="131" t="s">
        <v>135</v>
      </c>
      <c r="U47" s="127"/>
    </row>
    <row r="48" spans="1:21" ht="30" x14ac:dyDescent="0.25">
      <c r="A48" s="142">
        <v>19</v>
      </c>
      <c r="B48" s="45">
        <v>3404</v>
      </c>
      <c r="C48" s="46" t="s">
        <v>136</v>
      </c>
      <c r="D48" s="47" t="s">
        <v>27</v>
      </c>
      <c r="E48" s="48"/>
      <c r="F48" s="49"/>
      <c r="G48" s="50"/>
      <c r="H48" s="47"/>
      <c r="I48" s="73" t="s">
        <v>27</v>
      </c>
      <c r="J48" s="52" t="s">
        <v>27</v>
      </c>
      <c r="K48" s="48"/>
      <c r="L48" s="48"/>
      <c r="M48" s="53" t="s">
        <v>27</v>
      </c>
      <c r="N48" s="54"/>
      <c r="O48" s="55"/>
      <c r="P48" s="47"/>
      <c r="Q48" s="49" t="s">
        <v>27</v>
      </c>
      <c r="R48" s="115" t="s">
        <v>137</v>
      </c>
      <c r="S48" s="128">
        <v>2</v>
      </c>
      <c r="T48" s="129" t="s">
        <v>118</v>
      </c>
      <c r="U48" s="127"/>
    </row>
    <row r="49" spans="1:21" ht="30" x14ac:dyDescent="0.25">
      <c r="A49" s="142">
        <v>18</v>
      </c>
      <c r="B49" s="45">
        <v>3557</v>
      </c>
      <c r="C49" s="46" t="s">
        <v>138</v>
      </c>
      <c r="D49" s="47"/>
      <c r="E49" s="48" t="s">
        <v>27</v>
      </c>
      <c r="F49" s="49"/>
      <c r="G49" s="50"/>
      <c r="H49" s="47"/>
      <c r="I49" s="73" t="s">
        <v>27</v>
      </c>
      <c r="J49" s="52"/>
      <c r="K49" s="48"/>
      <c r="L49" s="48"/>
      <c r="M49" s="53" t="s">
        <v>27</v>
      </c>
      <c r="N49" s="54"/>
      <c r="O49" s="55"/>
      <c r="P49" s="47" t="s">
        <v>27</v>
      </c>
      <c r="Q49" s="49"/>
      <c r="R49" s="115" t="s">
        <v>139</v>
      </c>
      <c r="S49" s="128"/>
      <c r="T49" s="126" t="s">
        <v>140</v>
      </c>
      <c r="U49" s="127"/>
    </row>
    <row r="50" spans="1:21" ht="111.75" customHeight="1" x14ac:dyDescent="0.25">
      <c r="A50" s="142">
        <v>16</v>
      </c>
      <c r="B50" s="45">
        <v>3460</v>
      </c>
      <c r="C50" s="46" t="s">
        <v>141</v>
      </c>
      <c r="D50" s="47"/>
      <c r="E50" s="48" t="s">
        <v>27</v>
      </c>
      <c r="F50" s="49"/>
      <c r="G50" s="50"/>
      <c r="H50" s="47"/>
      <c r="I50" s="73" t="s">
        <v>27</v>
      </c>
      <c r="J50" s="52"/>
      <c r="K50" s="48" t="s">
        <v>27</v>
      </c>
      <c r="L50" s="48"/>
      <c r="M50" s="53" t="s">
        <v>27</v>
      </c>
      <c r="N50" s="54"/>
      <c r="O50" s="55"/>
      <c r="P50" s="47"/>
      <c r="Q50" s="49" t="s">
        <v>27</v>
      </c>
      <c r="R50" s="115" t="s">
        <v>142</v>
      </c>
      <c r="S50" s="135">
        <v>12</v>
      </c>
      <c r="T50" s="129" t="s">
        <v>143</v>
      </c>
      <c r="U50" s="127"/>
    </row>
    <row r="51" spans="1:21" ht="90" x14ac:dyDescent="0.25">
      <c r="A51" s="142">
        <v>15</v>
      </c>
      <c r="B51" s="45">
        <v>3673</v>
      </c>
      <c r="C51" s="46" t="s">
        <v>144</v>
      </c>
      <c r="D51" s="47" t="s">
        <v>27</v>
      </c>
      <c r="E51" s="48"/>
      <c r="F51" s="49"/>
      <c r="G51" s="50"/>
      <c r="H51" s="47"/>
      <c r="I51" s="73" t="s">
        <v>27</v>
      </c>
      <c r="J51" s="52"/>
      <c r="K51" s="48"/>
      <c r="L51" s="48" t="s">
        <v>27</v>
      </c>
      <c r="M51" s="53"/>
      <c r="N51" s="54"/>
      <c r="O51" s="55"/>
      <c r="P51" s="47" t="s">
        <v>27</v>
      </c>
      <c r="Q51" s="49"/>
      <c r="R51" s="115" t="s">
        <v>145</v>
      </c>
      <c r="S51" s="128">
        <v>3</v>
      </c>
      <c r="T51" s="129" t="s">
        <v>146</v>
      </c>
      <c r="U51" s="127" t="s">
        <v>190</v>
      </c>
    </row>
    <row r="52" spans="1:21" ht="30" x14ac:dyDescent="0.25">
      <c r="A52" s="142">
        <v>12</v>
      </c>
      <c r="B52" s="45">
        <v>3508</v>
      </c>
      <c r="C52" s="46" t="s">
        <v>147</v>
      </c>
      <c r="D52" s="47" t="s">
        <v>27</v>
      </c>
      <c r="E52" s="48"/>
      <c r="F52" s="49"/>
      <c r="G52" s="50"/>
      <c r="H52" s="47"/>
      <c r="I52" s="73" t="s">
        <v>27</v>
      </c>
      <c r="J52" s="52"/>
      <c r="K52" s="48"/>
      <c r="L52" s="48" t="s">
        <v>27</v>
      </c>
      <c r="M52" s="53"/>
      <c r="N52" s="54"/>
      <c r="O52" s="55"/>
      <c r="P52" s="47"/>
      <c r="Q52" s="49" t="s">
        <v>27</v>
      </c>
      <c r="R52" s="115" t="s">
        <v>148</v>
      </c>
      <c r="S52" s="128">
        <v>0.5</v>
      </c>
      <c r="T52" s="126" t="s">
        <v>43</v>
      </c>
      <c r="U52" s="127"/>
    </row>
    <row r="53" spans="1:21" ht="30" x14ac:dyDescent="0.25">
      <c r="A53" s="142">
        <v>10</v>
      </c>
      <c r="B53" s="45">
        <v>3675</v>
      </c>
      <c r="C53" s="46" t="s">
        <v>149</v>
      </c>
      <c r="D53" s="47"/>
      <c r="E53" s="48" t="s">
        <v>27</v>
      </c>
      <c r="F53" s="49"/>
      <c r="G53" s="50"/>
      <c r="H53" s="47"/>
      <c r="I53" s="73" t="s">
        <v>27</v>
      </c>
      <c r="J53" s="52"/>
      <c r="K53" s="48"/>
      <c r="L53" s="48"/>
      <c r="M53" s="53" t="s">
        <v>27</v>
      </c>
      <c r="N53" s="54"/>
      <c r="O53" s="55"/>
      <c r="P53" s="47"/>
      <c r="Q53" s="49" t="s">
        <v>27</v>
      </c>
      <c r="R53" s="113"/>
      <c r="S53" s="125">
        <v>1.5</v>
      </c>
      <c r="T53" s="126" t="s">
        <v>150</v>
      </c>
      <c r="U53" s="127"/>
    </row>
    <row r="54" spans="1:21" ht="75.75" thickBot="1" x14ac:dyDescent="0.3">
      <c r="A54" s="147">
        <v>9</v>
      </c>
      <c r="B54" s="61">
        <v>3679</v>
      </c>
      <c r="C54" s="62" t="s">
        <v>151</v>
      </c>
      <c r="D54" s="63" t="s">
        <v>27</v>
      </c>
      <c r="E54" s="64"/>
      <c r="F54" s="65"/>
      <c r="G54" s="66"/>
      <c r="H54" s="63"/>
      <c r="I54" s="74" t="s">
        <v>27</v>
      </c>
      <c r="J54" s="68"/>
      <c r="K54" s="64"/>
      <c r="L54" s="64"/>
      <c r="M54" s="69" t="s">
        <v>27</v>
      </c>
      <c r="N54" s="70"/>
      <c r="O54" s="71"/>
      <c r="P54" s="63"/>
      <c r="Q54" s="65" t="s">
        <v>27</v>
      </c>
      <c r="R54" s="119"/>
      <c r="S54" s="125"/>
      <c r="T54" s="126" t="s">
        <v>167</v>
      </c>
      <c r="U54" s="127"/>
    </row>
    <row r="55" spans="1:21" ht="60" x14ac:dyDescent="0.25">
      <c r="A55" s="142">
        <v>8</v>
      </c>
      <c r="B55" s="75">
        <v>3580</v>
      </c>
      <c r="C55" s="76" t="s">
        <v>152</v>
      </c>
      <c r="D55" s="77" t="s">
        <v>27</v>
      </c>
      <c r="E55" s="78"/>
      <c r="F55" s="79"/>
      <c r="G55" s="80"/>
      <c r="H55" s="77"/>
      <c r="I55" s="79" t="s">
        <v>27</v>
      </c>
      <c r="J55" s="81"/>
      <c r="K55" s="78" t="s">
        <v>27</v>
      </c>
      <c r="L55" s="78"/>
      <c r="M55" s="82"/>
      <c r="N55" s="77"/>
      <c r="O55" s="83" t="s">
        <v>27</v>
      </c>
      <c r="P55" s="77"/>
      <c r="Q55" s="79"/>
      <c r="R55" s="120" t="s">
        <v>153</v>
      </c>
      <c r="S55" s="136"/>
      <c r="T55" s="126" t="s">
        <v>127</v>
      </c>
      <c r="U55" s="127" t="s">
        <v>191</v>
      </c>
    </row>
    <row r="56" spans="1:21" ht="75" customHeight="1" x14ac:dyDescent="0.25">
      <c r="A56" s="143">
        <v>3</v>
      </c>
      <c r="B56" s="84">
        <v>3678</v>
      </c>
      <c r="C56" s="85" t="s">
        <v>154</v>
      </c>
      <c r="D56" s="86" t="s">
        <v>27</v>
      </c>
      <c r="E56" s="87"/>
      <c r="F56" s="88"/>
      <c r="G56" s="89"/>
      <c r="H56" s="86"/>
      <c r="I56" s="88" t="s">
        <v>27</v>
      </c>
      <c r="J56" s="90"/>
      <c r="K56" s="87" t="s">
        <v>27</v>
      </c>
      <c r="L56" s="87"/>
      <c r="M56" s="91" t="s">
        <v>27</v>
      </c>
      <c r="N56" s="43"/>
      <c r="O56" s="92" t="s">
        <v>27</v>
      </c>
      <c r="P56" s="86"/>
      <c r="Q56" s="88" t="s">
        <v>27</v>
      </c>
      <c r="R56" s="121" t="s">
        <v>155</v>
      </c>
      <c r="S56" s="137">
        <v>0</v>
      </c>
      <c r="T56" s="131" t="s">
        <v>88</v>
      </c>
      <c r="U56" s="127"/>
    </row>
    <row r="57" spans="1:21" ht="93.75" customHeight="1" thickBot="1" x14ac:dyDescent="0.3">
      <c r="A57" s="147">
        <v>2</v>
      </c>
      <c r="B57" s="93" t="s">
        <v>156</v>
      </c>
      <c r="C57" s="94" t="s">
        <v>157</v>
      </c>
      <c r="D57" s="95" t="s">
        <v>27</v>
      </c>
      <c r="E57" s="96"/>
      <c r="F57" s="97"/>
      <c r="G57" s="98"/>
      <c r="H57" s="95" t="s">
        <v>27</v>
      </c>
      <c r="I57" s="97"/>
      <c r="J57" s="99" t="s">
        <v>27</v>
      </c>
      <c r="K57" s="96"/>
      <c r="L57" s="96"/>
      <c r="M57" s="100"/>
      <c r="N57" s="70"/>
      <c r="O57" s="71"/>
      <c r="P57" s="95"/>
      <c r="Q57" s="97" t="s">
        <v>27</v>
      </c>
      <c r="R57" s="122" t="s">
        <v>158</v>
      </c>
      <c r="S57" s="137">
        <v>1</v>
      </c>
      <c r="T57" s="138" t="s">
        <v>125</v>
      </c>
      <c r="U57" s="127"/>
    </row>
    <row r="58" spans="1:21" x14ac:dyDescent="0.25">
      <c r="S58" s="110">
        <f>SUM(S4:S57)</f>
        <v>139.5</v>
      </c>
    </row>
    <row r="60" spans="1:21" x14ac:dyDescent="0.25">
      <c r="S60" s="109">
        <f>S58*150</f>
        <v>20925</v>
      </c>
    </row>
  </sheetData>
  <mergeCells count="5">
    <mergeCell ref="D2:F2"/>
    <mergeCell ref="H2:I2"/>
    <mergeCell ref="J2:M2"/>
    <mergeCell ref="N2:O2"/>
    <mergeCell ref="P2:Q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Tito</dc:creator>
  <cp:lastModifiedBy>Corinne Casagrande</cp:lastModifiedBy>
  <dcterms:created xsi:type="dcterms:W3CDTF">2013-01-08T09:28:33Z</dcterms:created>
  <dcterms:modified xsi:type="dcterms:W3CDTF">2013-01-10T18:15:50Z</dcterms:modified>
</cp:coreProperties>
</file>