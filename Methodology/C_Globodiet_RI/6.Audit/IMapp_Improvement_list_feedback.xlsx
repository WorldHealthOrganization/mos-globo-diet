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255" windowWidth="20115" windowHeight="12915"/>
  </bookViews>
  <sheets>
    <sheet name="Feuil1" sheetId="1" r:id="rId1"/>
    <sheet name="Feuil2" sheetId="2" r:id="rId2"/>
    <sheet name="Feuil3" sheetId="3" r:id="rId3"/>
  </sheets>
  <definedNames>
    <definedName name="_xlnm.Print_Titles" localSheetId="0">Feuil1!$3:$3</definedName>
  </definedNames>
  <calcPr calcId="145621"/>
</workbook>
</file>

<file path=xl/calcChain.xml><?xml version="1.0" encoding="utf-8"?>
<calcChain xmlns="http://schemas.openxmlformats.org/spreadsheetml/2006/main">
  <c r="F1" i="1" l="1"/>
  <c r="F2" i="1" s="1"/>
  <c r="E1" i="1"/>
  <c r="E2" i="1" s="1"/>
</calcChain>
</file>

<file path=xl/sharedStrings.xml><?xml version="1.0" encoding="utf-8"?>
<sst xmlns="http://schemas.openxmlformats.org/spreadsheetml/2006/main" count="356" uniqueCount="187">
  <si>
    <t>REF</t>
  </si>
  <si>
    <t>IMPORT</t>
  </si>
  <si>
    <t>EXPORT</t>
  </si>
  <si>
    <t>VIEW</t>
  </si>
  <si>
    <t>PERFORMANCE</t>
  </si>
  <si>
    <t>Multi-users</t>
  </si>
  <si>
    <t>Bugs</t>
  </si>
  <si>
    <t>Other EVOL</t>
  </si>
  <si>
    <t>x</t>
  </si>
  <si>
    <t>1.1.a</t>
  </si>
  <si>
    <t>Display 1 page in note screen</t>
  </si>
  <si>
    <t>Display 1 page in view export screen</t>
  </si>
  <si>
    <t>Export data in Note &amp; view/export screens</t>
  </si>
  <si>
    <t>1.1.b</t>
  </si>
  <si>
    <t>1.1.c</t>
  </si>
  <si>
    <t>Prise en charge</t>
  </si>
  <si>
    <t>Use by different users in the same time</t>
  </si>
  <si>
    <t>A default language is assigned to each project/country</t>
  </si>
  <si>
    <t>Export of the notes: cannot read csv-file in Excel</t>
  </si>
  <si>
    <t>In subject management, Update's done for 2 subjects have the same code but 2 centre codes different</t>
  </si>
  <si>
    <t>Filters and pop-up title: change name &amp; value</t>
  </si>
  <si>
    <t>Place "subject code” before “Recall date" column</t>
  </si>
  <si>
    <t>Increase size of Icon Sort and Filter function</t>
  </si>
  <si>
    <t>Change menu to display steps logically</t>
  </si>
  <si>
    <t>Liste – problem of sort order after a creation</t>
  </si>
  <si>
    <t>Fiche Details – sort order problem</t>
  </si>
  <si>
    <t xml:space="preserve">Fiche Details – column order </t>
  </si>
  <si>
    <t xml:space="preserve">View Errors </t>
  </si>
  <si>
    <t>UPLOAD INTERVIEW</t>
  </si>
  <si>
    <t>Change name of error file</t>
  </si>
  <si>
    <t>6.1.1</t>
  </si>
  <si>
    <t>URGENT POINTS</t>
  </si>
  <si>
    <t>GENERAL COMMENTS</t>
  </si>
  <si>
    <t>FOLDER MANAGEMENT</t>
  </si>
  <si>
    <t>Change message after uploaded well</t>
  </si>
  <si>
    <t>Why cannot download a xml-file that has been imported but error and still visible</t>
  </si>
  <si>
    <t>IMPORT INTERVIEW</t>
  </si>
  <si>
    <t>Need to generate new xml-file contains only non-imported interviews after import proceed is not good</t>
  </si>
  <si>
    <t>SUBJECT MANAGEMENT</t>
  </si>
  <si>
    <t>Liste screen</t>
  </si>
  <si>
    <t>Sort order on Region name + subject code</t>
  </si>
  <si>
    <t>6.1.2</t>
  </si>
  <si>
    <t>Change name temporary column by “To be reviewed” and also in the fiche</t>
  </si>
  <si>
    <t>6.1.3</t>
  </si>
  <si>
    <t xml:space="preserve">In search part, add ‘Folder’ field, to have the list of subjects available in a selected folder </t>
  </si>
  <si>
    <t>Fiche screen</t>
  </si>
  <si>
    <t>6.2.1</t>
  </si>
  <si>
    <t>Sort order on Recalled date</t>
  </si>
  <si>
    <t>6.2.2</t>
  </si>
  <si>
    <t>Add some business rules</t>
  </si>
  <si>
    <t>6.2.3</t>
  </si>
  <si>
    <t>Change column order to have the same approach as in EPIC-Soft application</t>
  </si>
  <si>
    <t>6.2.4</t>
  </si>
  <si>
    <t>Update fields in subject information pop-up</t>
  </si>
  <si>
    <t>6.2.5</t>
  </si>
  <si>
    <t xml:space="preserve">New function: Attach an interview to some subjects </t>
  </si>
  <si>
    <t>6.2.6</t>
  </si>
  <si>
    <t>We select a subject in the page 2 or 3, we update it and we save the record. After this save, the first page of subject list is displayed and not the second/third one</t>
  </si>
  <si>
    <t>NOTE MANAGEMENT</t>
  </si>
  <si>
    <t>Put button “Clear all filter values” in pop-up “Filter management”</t>
  </si>
  <si>
    <t>Put button “Save filter” dans la pop-up “Filter management”</t>
  </si>
  <si>
    <t>VIEW/EXPORT</t>
  </si>
  <si>
    <t>Same points as in screen Note management (chapter 7.)</t>
  </si>
  <si>
    <t>OBSOLETE INTERVIEW</t>
  </si>
  <si>
    <t>Liste – sort order not correct on region, subject code, recall date and interview version</t>
  </si>
  <si>
    <t xml:space="preserve">Fiche - “interview details” fiche the note records are displayed instead of interview records </t>
  </si>
  <si>
    <t>Delete interview - interview with version 1 cannot be deleted</t>
  </si>
  <si>
    <t>Download</t>
  </si>
  <si>
    <t xml:space="preserve">Add a delete button </t>
  </si>
  <si>
    <t>All generated files need be available in zip-files to win space</t>
  </si>
  <si>
    <t>DATABASE MODELS</t>
  </si>
  <si>
    <t>The management of the interview versions has to be reviewed to have less data in the main interview tables</t>
  </si>
  <si>
    <t>In table Subject, Region/Centre_id has to be added and Country_id can be deleted</t>
  </si>
  <si>
    <t>Pourquoi a-t-on la table Center dans la baseIM alors que le label utilisé est celui de la table Center de la base SC ?</t>
  </si>
  <si>
    <t>Small evolution</t>
  </si>
  <si>
    <t>It's possible to change code to be possible to view in excel</t>
  </si>
  <si>
    <t>small one</t>
  </si>
  <si>
    <t>small evolution</t>
  </si>
  <si>
    <t>I'm not sure it's possible, we use the grid of Telerik --&gt; Need to investigate to see it's possible to chang this icon</t>
  </si>
  <si>
    <t>small evolution --&gt; change following the suggestion</t>
  </si>
  <si>
    <t>Need to migrate to CIRC's database</t>
  </si>
  <si>
    <t>Need to investigate to see if it's a bug</t>
  </si>
  <si>
    <t>Generate xml files, and also see the way to download &amp; delete them</t>
  </si>
  <si>
    <t>Change following the rules as described</t>
  </si>
  <si>
    <t>Need to make clear on "- Energy intake " And "- Status ‘exported’/’accessible’  to be added"</t>
  </si>
  <si>
    <t>Need CIRC describe the "bussiness" clearly on which field is updatable?</t>
  </si>
  <si>
    <t>OK for solution a</t>
  </si>
  <si>
    <t>will investigate to see if it's possible</t>
  </si>
  <si>
    <t>We shouldn't do like this, what do you think by keeping all as it but add 1 more button call "advance filters" to show dialog that contains all filters?</t>
  </si>
  <si>
    <t>In my opinion, it's better to keep as it
- Save filter: save the current filter to managed list
- Clear filter: remove all filter on this screen (no filter in managed list)
--&gt; will be done if you still need this</t>
  </si>
  <si>
    <t>Same with 7 too</t>
  </si>
  <si>
    <t>We need the Country Id to separate the Subject between different perimeters, why we need to change this?</t>
  </si>
  <si>
    <t>The IM have to used data exported from MS, we cannot use the table Center directly</t>
  </si>
  <si>
    <t>Who will be able to delete file?</t>
  </si>
  <si>
    <t xml:space="preserve">small evolution
(view/export, Note, Obsolete, Folder)  </t>
  </si>
  <si>
    <t>1.2</t>
  </si>
  <si>
    <t>1.3</t>
  </si>
  <si>
    <t>2.1</t>
  </si>
  <si>
    <t>2.2</t>
  </si>
  <si>
    <t>2.3</t>
  </si>
  <si>
    <t>2.4</t>
  </si>
  <si>
    <t>2.5</t>
  </si>
  <si>
    <t>2.6</t>
  </si>
  <si>
    <t>2.7</t>
  </si>
  <si>
    <t>3.1</t>
  </si>
  <si>
    <t>3.2</t>
  </si>
  <si>
    <t>3.3</t>
  </si>
  <si>
    <t>4.1</t>
  </si>
  <si>
    <t>4.2</t>
  </si>
  <si>
    <t>5.1</t>
  </si>
  <si>
    <t>5.2</t>
  </si>
  <si>
    <t>5.3</t>
  </si>
  <si>
    <t>6.1</t>
  </si>
  <si>
    <t>6.2</t>
  </si>
  <si>
    <t>7.1</t>
  </si>
  <si>
    <t>7.2</t>
  </si>
  <si>
    <t>7.3</t>
  </si>
  <si>
    <t>7.4</t>
  </si>
  <si>
    <t>8.1</t>
  </si>
  <si>
    <t>9.1</t>
  </si>
  <si>
    <t>9.2</t>
  </si>
  <si>
    <t>9.3</t>
  </si>
  <si>
    <t>9.4</t>
  </si>
  <si>
    <t>10.1</t>
  </si>
  <si>
    <t>10.2</t>
  </si>
  <si>
    <t>10.3</t>
  </si>
  <si>
    <t>11.1</t>
  </si>
  <si>
    <t>11.2</t>
  </si>
  <si>
    <t>11.3</t>
  </si>
  <si>
    <t>L'export qui traite les données de façon unitaire ne peut pas aboutir du fait d'un temps de traitement excessivement long.
Il est nécessaire d'en changer la conception et les scripts.</t>
  </si>
  <si>
    <t>Il est possible d'implémenter une gestion "multi-users" qui va dans le sens du document "Imapp_multi-users_20130703.doc". 
Une analyse approfondie est nécessaire pour en discerner tous les impacts. Plus la gestion "multi-users" est fine et contraignante plus le risque d'un impact négatif sur les performances est important.</t>
  </si>
  <si>
    <t>Small bug</t>
  </si>
  <si>
    <t xml:space="preserve"> </t>
  </si>
  <si>
    <t>1.1.d</t>
  </si>
  <si>
    <t>1.1.e</t>
  </si>
  <si>
    <t>Report for error of import is not clear and familiar --&gt; need more detail on error log</t>
  </si>
  <si>
    <t>X</t>
  </si>
  <si>
    <t>PRIORITY 1</t>
  </si>
  <si>
    <t>CHARGE en JR/H</t>
  </si>
  <si>
    <t>ITEAL Comments</t>
  </si>
  <si>
    <t>The column “subject code” has to be placed before the column “Recall date” in all screens (view/export, Note, Obsolete, Folder)</t>
  </si>
  <si>
    <t>€ TOTAL (150 euros/jour)</t>
  </si>
  <si>
    <t>L'import ne fonctionne pas avec la volumétrie actuelle. Il y a un traitement unitaire qui vérifie la cohérence dans la base de chaque donnée. Plus cette base est grosse, plus cette vérification prend du temps. Il arrive alors une situation où ce temps requis dépasse l'acceptable.
Il faut donc changer complètement le traitement de l'import en révisant les traitements, la base, les scripts, les règles de contrôle.</t>
  </si>
  <si>
    <t>Libellé court</t>
  </si>
  <si>
    <t>Need time to investigate, but I think it'll not have big impact on performance
Impact if we do this:
- Import (will be slower)
- View / Export - Note - Obsolete Interview screen
- Restore previous version</t>
  </si>
  <si>
    <t>Response times too long for:   - display 1 page in Note screen    - display 1 page in View/export screen (See e-SMP-3716)    - export data in Note &amp; View/export screens</t>
  </si>
  <si>
    <t>long label</t>
  </si>
  <si>
    <t>The management of the interview versions has to be reviewed in order to have less data in the main interview tables. The previous interview versions are only used in obsolete screen so we can put them in different tables. The response time will be much better if we use only the current interviews (screens Note &amp; view/export &amp; subject)</t>
  </si>
  <si>
    <t>When an export is running, a record displays file export name + its status=running</t>
  </si>
  <si>
    <t xml:space="preserve">Add a delete button in order to allow coordinators to suppress the files already exported and to not overcharge our server space. </t>
  </si>
  <si>
    <t>9.4. Delete interview: the interview with version 1 cannot be deleted as specified in general specification document (p52).
--&gt; This function has been strongly requested by the TFG and users</t>
  </si>
  <si>
    <t>Fiche - “interview details” fiche the note records are displayed instead of interview records (as in view/export screen). 
(Bugnet 3724: Tuan Anh evaluate this as evolution but it was specified in general specification document page 52)</t>
  </si>
  <si>
    <t>Move Subject code column before Recall date column</t>
  </si>
  <si>
    <t>Liste – sort order not correct The sort has to be done on region, subject code, recall date and interview version.</t>
  </si>
  <si>
    <t xml:space="preserve">Do not run the record display each time a selection is done </t>
  </si>
  <si>
    <t>Do not run the record display each time a selection is done (selection with funnel)  but only when the user decides to do it by adding a button ‘Run filter’ (a kind of refresh that takes into account the done selections) -&gt; if we still have a performance problem</t>
  </si>
  <si>
    <t xml:space="preserve">When several interviews are attached to one subject, we cannot attribute one of these interviews to another subject. To implement this new function, we can have 2 different approaches by:
a) Adding button in the fiche pop-up: we need a button “move interview” that allows attributing a selected interview to another subject: 
When the move button is selected, a pop-up displaying the list of available subject codes is displayed and the user can select one or can also enter a new one by selecting a region and taping the new code. In this pop-up, we can also image a possible search
b) Changing the list by adding the column Recall date and having several lines per subject (1 per interview) in this list. When the user edits a line, the fiche is displayed with 1 interview. If a modification is done on subject Code then, the user has to confirm that it is for all the interview attached to this subject or only to the selected one. In this last case, the interview is allocated to another user. 
For the subject general information, the update is automatically applied to all the attached interview.
c) Conclusion:  As we expect that this function will not be used so much/frequently, the solution a. seems to be the better approach </t>
  </si>
  <si>
    <t>Fields that can be updated in subject information pop-up:  
- At subject level: o Code  o Birth date o Gender o Last name o First name o Region? No 
- At interview level:   o Recall date?  o Interview number o Weight o Height
Note: no update for folder value because already possible in folder management (not in both place)</t>
  </si>
  <si>
    <t xml:space="preserve">Column order has to be changed in order to have the same approach as in EPIC-Soft application. New order: 
- Recall date as first column,    - Interview number (column ITG_num of Interview_gi table and not ITV_id)      - Folder name-&gt; to be added     - Weight,      - Height    - Energy intake -&gt; to be added
- Interviewer code and add the interviewer region code in from of (1 column).    - Status ‘exported’/’accessible’ -&gt; to be added    </t>
  </si>
  <si>
    <t xml:space="preserve">Addition of the following business rules: 
- A subject cannot be updated if at least one of its interviews has the status exported.     - An interview general information (weight, height…) cannot be updated if its status=exported. 
These 2 rules are necessary in order to avoid this special situation:
o Import of a subject/interview with status=temporary     o Export of this temporary subject/interview   o Update of this subject/interview
o Import again this subject/interview as the application cannot find an exported interview (status=exported) with the key information, the import is KO… </t>
  </si>
  <si>
    <t>We the import is not well proceed, an error file is generated (txt-file) but an xml-file has also to be generated containing only the non-imported interviews in order to be updated and re-imported if necessary.
When the import runs with errors due to a problem (e.g. format error with coma instead of point…), the application is imported some interviews (e.g. interviews with correct format) and some not (e.g. interviews with wrong format). The application is generated:
- The error-file that lists all the interviews with attached a status OK or KO. 
- The imported xml-file is available on screen with all interviews (OK and KO ones).
- A new xml-file has to be generated containing only the non-imported interviews in order to allow the user to correct it, or to import it in ESapp to correct the interviews with problems.</t>
  </si>
  <si>
    <t xml:space="preserve">Name of error file has to be changed: The name of the generated error file has to follow the same rules as for the xml-file with started with “Import_” then “Error_Log_File_” then the date and the hours “2013_04_18T18.30.04” </t>
  </si>
  <si>
    <t>An xml-file has been imported but error occurred. The xml-file with error is visible on screen but when we try to download it, we have error message.
After a problem of import, an error file is generated and the xml-file is visible as below:  Then I select the error file and when I use the download function, I have the following error message. Why, the error file is there and can be visible? Is this question asked because the xml-file is not there? Why it is visible but not downloaded?</t>
  </si>
  <si>
    <t>Fiche Details – column order The Subject code should be displayed before the recall date. Column order is Region, Subject code, Recall date, Gender, Birth Date, First Name and Last Name</t>
  </si>
  <si>
    <t>Fiche Details – sort order problem: The list of interviews is not sorted on region + subject_code + recalled date.</t>
  </si>
  <si>
    <t>In subject management, if 2 subjects have the same code but 2 centre codes different (e.g. subject 001010 from Cambridge and subject 001010 from Oxford), when we update the subject from Cambridge (e.g. change the name), the update is done for both!  Database model has also to be changed in order to avoid this problem in all the application. See e-SMP-3430</t>
  </si>
  <si>
    <r>
      <rPr>
        <b/>
        <i/>
        <sz val="11"/>
        <color theme="1"/>
        <rFont val="Calibri"/>
        <family val="2"/>
        <scheme val="minor"/>
      </rPr>
      <t>IMapp can be used by different users in the same time.</t>
    </r>
    <r>
      <rPr>
        <i/>
        <sz val="11"/>
        <color theme="1"/>
        <rFont val="Calibri"/>
        <family val="2"/>
        <scheme val="minor"/>
      </rPr>
      <t xml:space="preserve"> In order to avoid confusion during update, an approach with lock-unlock function is needed.</t>
    </r>
  </si>
  <si>
    <t>The 3430 has been closed, now we don't have this problem
To change database model at the moment will have very big impact on all functions (not only subject)
We shouldn't do this because charge will be very high</t>
  </si>
  <si>
    <t xml:space="preserve">Perimeter - Language: as a default language is assign to each project/country, can this language be proposed by default after the project/country selection by the user?
We now experience that we have to select 'Dutch - The Netherlands' as a language to our project each time we run e-SMP. </t>
  </si>
  <si>
    <t>Export of the notes: - this went OK but I could not read the csv-file in Excel, because for every 'enter/return' he created a new line. I changed in IMapp all returns in soft returns and exported again, but that did not help. (IARC: to be reviewed and discussed with P&amp;G Grange)</t>
  </si>
  <si>
    <t>Filters and pop-up title:   In the filter pop-up, display as title, the name of the selected column. In the following example, replace:
- “Filter column name” by “First name”     - “Filter values” by “Values”     
This general rules has to be followed in the following screen:
- Folder management &amp; “Folder details” fiche     - Notes screen     - View/Export screen     - Obsolete interviews screen</t>
  </si>
  <si>
    <t>Icon for Sort and Filter function: Please increase the size of the funnel and the size of the white triangle</t>
  </si>
  <si>
    <t>Change Refresh screen icon, it is not vsisible</t>
  </si>
  <si>
    <t>Menu: regarding the returns from PILOT-PANEU, we have seen that the process was not strongly followed. 
For example, they have exported interviews for update and then they have updated the subject codes that had stopped the possibility to re-import the exported interviews… It is for this reason, that we would like to change the menu in order to well display the steps to be followed:
Under Settings: Folder Management &amp; Obsolete Interviews &amp; Import Parameters
Under Interview Management: Upload &amp; Import &amp; Subject Update &amp; Note review &amp; Interview View/Export &amp; Downloaded Interviews</t>
  </si>
  <si>
    <t>Liste – problem of sort order after a creation: When we create a new folder and returned to the list of folder, this new folder is always available at the top of the list. The sort on Folder name in alphabetical order is not done after a creation</t>
  </si>
  <si>
    <t>View Errors –  In case of errors occurred during the upload, the user has to click on the view error button to see what’s happened.  A non-informed user can miss this step and when the pop-up is closed, it is impossible to have the error list.
Solution:  Once the upload is finished and in case of errors, then the error list is automatically displayed. Then when the user closes this “error description” pop-up, the previous pop-up “file uploading Report” is displayed instead of returning in the main upload screen.</t>
  </si>
  <si>
    <t>The following message displayed when the upload run well has to be changed by “Upload file completed successfully.  Do not forget to archive this xml- (&amp; bak) files provided by EPIC-Soft application</t>
  </si>
  <si>
    <t>IARC:</t>
  </si>
  <si>
    <t>In p52 of SFG document, it was specified that "Actions - View Interview: User can double click on each row to open a « fiche screen » that contains all interview items." and not the note records only.</t>
  </si>
  <si>
    <r>
      <t xml:space="preserve">In p52 of SFG document, it was specified that "Actions - </t>
    </r>
    <r>
      <rPr>
        <b/>
        <i/>
        <u/>
        <sz val="11"/>
        <color rgb="FF0000FF"/>
        <rFont val="Calibri"/>
        <family val="2"/>
        <scheme val="minor"/>
      </rPr>
      <t>Delete: not for first version</t>
    </r>
    <r>
      <rPr>
        <b/>
        <i/>
        <sz val="11"/>
        <color rgb="FF0000FF"/>
        <rFont val="Calibri"/>
        <family val="2"/>
        <scheme val="minor"/>
      </rPr>
      <t>. User can delete 1 or multiple records"</t>
    </r>
  </si>
  <si>
    <t xml:space="preserve">Une première solution consiste à  :
1. Mise en place de l'environnement de test
2. Analyse et étude des différentes solutions d'optimisatoin
3. Test des différentes solutions pour retenir celles devant être implémentés en considération des résultats préliminaires
4. Implémentation pour mesurer le résultat réel :
   a. changement de la structure des tables
   b. changement dans la structure des traitements
   c. réécriture des requêtes SQL
   d. raccordement des écrans avec les traitements qui préparent les données
   e. test et finition
Cette première étape de solution (chage déjà consommée : 17 jrs) donne les résultats suivants : 
~ 1'10s en ouverture de la page (contre  &gt; 90 minutes auparavant)
~ 40s pour naviguer d'une page à l'autre ou appliquer des filtres et tris
Pour pousser la performance plus loin, il est probablement nécessaire de restructurer plus profondément la base ou de changer des aspects fonctionnels et métier </t>
  </si>
  <si>
    <t>Charge Max</t>
  </si>
  <si>
    <t>Charge Min</t>
  </si>
  <si>
    <t>In p46 of SFG document, it was specified that "If an error occurred during the import of a set of interviews (xml-file), the problem is noticed in a log-file and all the interviews of this set are not imported."
The proposed solution with some interviews imported some not, generates burdon on interview files for the users.</t>
  </si>
  <si>
    <t xml:space="preserve"> Do we need, 1 day for each last 2 points? </t>
  </si>
  <si>
    <t>Robustness issue: a subject is defined by the following codes: Project+Country+Centre+Subject code. For example for Project Pancake, Country=UK, we can have subject 0010 from Cambridge and subject 0010 from Oxford that are 2 different subjects. If we do not introduce the centre value in subject table, theses 2 codes will be confused/mixed especially for future added functionalities, screens...</t>
  </si>
  <si>
    <t xml:space="preserve">It is not our question. After some checks, we can see that the displayed center labels are the ones available in table Center of database SC. 
So the question, do we really need a table Center in IM database + a synchonisation between IM and SC center tables?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</si>
</sst>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 #,##0;\-&quot;€&quot;#,##0"/>
  </numFmts>
  <fonts count="9" x14ac:knownFonts="1">
    <font>
      <sz val="11"/>
      <color theme="1"/>
      <name val="Calibri"/>
      <family val="2"/>
      <scheme val="minor"/>
    </font>
    <font>
      <b/>
      <sz val="11"/>
      <color theme="1"/>
      <name val="Calibri"/>
      <family val="2"/>
      <scheme val="minor"/>
    </font>
    <font>
      <b/>
      <sz val="11"/>
      <color rgb="FFFF0000"/>
      <name val="Calibri"/>
      <family val="2"/>
      <scheme val="minor"/>
    </font>
    <font>
      <sz val="11"/>
      <color rgb="FFFF0000"/>
      <name val="Calibri"/>
      <family val="2"/>
      <scheme val="minor"/>
    </font>
    <font>
      <b/>
      <sz val="12"/>
      <color rgb="FFFF0000"/>
      <name val="Calibri"/>
      <family val="2"/>
      <scheme val="minor"/>
    </font>
    <font>
      <b/>
      <i/>
      <sz val="11"/>
      <color theme="1"/>
      <name val="Calibri"/>
      <family val="2"/>
      <scheme val="minor"/>
    </font>
    <font>
      <i/>
      <sz val="11"/>
      <color theme="1"/>
      <name val="Calibri"/>
      <family val="2"/>
      <scheme val="minor"/>
    </font>
    <font>
      <b/>
      <i/>
      <sz val="11"/>
      <color rgb="FF0000FF"/>
      <name val="Calibri"/>
      <family val="2"/>
      <scheme val="minor"/>
    </font>
    <font>
      <b/>
      <i/>
      <u/>
      <sz val="11"/>
      <color rgb="FF0000FF"/>
      <name val="Calibri"/>
      <family val="2"/>
      <scheme val="minor"/>
    </font>
  </fonts>
  <fills count="9">
    <fill>
      <patternFill patternType="none"/>
    </fill>
    <fill>
      <patternFill patternType="gray125"/>
    </fill>
    <fill>
      <patternFill patternType="solid">
        <fgColor theme="1" tint="0.34998626667073579"/>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CCFFFF"/>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C000"/>
        <bgColor indexed="64"/>
      </patternFill>
    </fill>
  </fills>
  <borders count="4">
    <border>
      <left/>
      <right/>
      <top/>
      <bottom/>
      <diagonal/>
    </border>
    <border>
      <left/>
      <right/>
      <top style="thin">
        <color auto="1"/>
      </top>
      <bottom style="thin">
        <color auto="1"/>
      </bottom>
      <diagonal/>
    </border>
    <border>
      <left/>
      <right/>
      <top/>
      <bottom style="thin">
        <color indexed="64"/>
      </bottom>
      <diagonal/>
    </border>
    <border>
      <left/>
      <right/>
      <top style="thin">
        <color auto="1"/>
      </top>
      <bottom/>
      <diagonal/>
    </border>
  </borders>
  <cellStyleXfs count="1">
    <xf numFmtId="0" fontId="0" fillId="0" borderId="0"/>
  </cellStyleXfs>
  <cellXfs count="58">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1" xfId="0" applyFill="1" applyBorder="1" applyAlignment="1">
      <alignment horizontal="left" vertical="center" wrapText="1"/>
    </xf>
    <xf numFmtId="0" fontId="2" fillId="0"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2" fillId="0" borderId="1" xfId="0" applyFont="1" applyFill="1" applyBorder="1" applyAlignment="1">
      <alignment horizontal="left" vertical="center" wrapText="1"/>
    </xf>
    <xf numFmtId="0" fontId="3" fillId="0" borderId="1" xfId="0" applyFont="1" applyFill="1" applyBorder="1" applyAlignment="1">
      <alignment horizontal="center" vertical="center" wrapText="1"/>
    </xf>
    <xf numFmtId="0" fontId="0" fillId="0" borderId="1" xfId="0" applyFill="1" applyBorder="1" applyAlignment="1">
      <alignment horizontal="center" vertical="center" wrapText="1"/>
    </xf>
    <xf numFmtId="0" fontId="1" fillId="2" borderId="0" xfId="0" applyFont="1" applyFill="1" applyAlignment="1">
      <alignment horizontal="left" vertical="center" wrapText="1"/>
    </xf>
    <xf numFmtId="0" fontId="3" fillId="0" borderId="1" xfId="0" applyFont="1" applyFill="1" applyBorder="1" applyAlignment="1">
      <alignment horizontal="left" vertical="center" wrapText="1"/>
    </xf>
    <xf numFmtId="0" fontId="0" fillId="0" borderId="1" xfId="0" applyBorder="1" applyAlignment="1">
      <alignment horizontal="left" vertical="center" wrapText="1"/>
    </xf>
    <xf numFmtId="0" fontId="4" fillId="4" borderId="0" xfId="0" applyFont="1" applyFill="1" applyAlignment="1">
      <alignment horizontal="center" vertical="center" wrapText="1"/>
    </xf>
    <xf numFmtId="164" fontId="4" fillId="4" borderId="0" xfId="0" applyNumberFormat="1" applyFont="1" applyFill="1" applyAlignment="1">
      <alignment horizontal="center" vertical="center" wrapText="1"/>
    </xf>
    <xf numFmtId="0" fontId="1" fillId="0" borderId="1" xfId="0" applyFont="1" applyFill="1" applyBorder="1" applyAlignment="1">
      <alignment horizontal="left" vertical="center" wrapText="1"/>
    </xf>
    <xf numFmtId="0" fontId="1" fillId="0" borderId="0" xfId="0" applyFont="1" applyFill="1" applyAlignment="1">
      <alignment horizontal="left" vertical="center" wrapText="1"/>
    </xf>
    <xf numFmtId="0" fontId="1" fillId="0" borderId="1" xfId="0" applyFont="1" applyFill="1" applyBorder="1" applyAlignment="1">
      <alignment vertical="center" wrapText="1"/>
    </xf>
    <xf numFmtId="0" fontId="5" fillId="3" borderId="1" xfId="0" applyFont="1" applyFill="1" applyBorder="1" applyAlignment="1">
      <alignment horizontal="left" vertical="center" wrapText="1"/>
    </xf>
    <xf numFmtId="0" fontId="1" fillId="6" borderId="1" xfId="0" applyFont="1" applyFill="1" applyBorder="1" applyAlignment="1">
      <alignment horizontal="left" vertical="center" wrapText="1"/>
    </xf>
    <xf numFmtId="0" fontId="1" fillId="6"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7" fillId="0" borderId="1" xfId="0" applyFont="1" applyBorder="1" applyAlignment="1">
      <alignment horizontal="left" vertical="center" wrapText="1"/>
    </xf>
    <xf numFmtId="0" fontId="1" fillId="7" borderId="0" xfId="0" applyFont="1" applyFill="1" applyAlignment="1">
      <alignment horizontal="left" vertical="center" wrapText="1"/>
    </xf>
    <xf numFmtId="0" fontId="1" fillId="7" borderId="0" xfId="0" applyFont="1" applyFill="1" applyAlignment="1">
      <alignment horizontal="center" vertical="center" wrapText="1"/>
    </xf>
    <xf numFmtId="0" fontId="2" fillId="7" borderId="0" xfId="0" applyFont="1" applyFill="1" applyAlignment="1">
      <alignment horizontal="center" vertical="center" textRotation="90" wrapText="1"/>
    </xf>
    <xf numFmtId="0" fontId="1" fillId="7" borderId="0" xfId="0" applyFont="1" applyFill="1" applyAlignment="1">
      <alignment horizontal="center" vertical="center" textRotation="90" wrapText="1"/>
    </xf>
    <xf numFmtId="0" fontId="1" fillId="7" borderId="1" xfId="0" applyFont="1" applyFill="1" applyBorder="1" applyAlignment="1">
      <alignment horizontal="left" vertical="center" wrapText="1"/>
    </xf>
    <xf numFmtId="0" fontId="1" fillId="7"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2" fillId="7"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2" fillId="7" borderId="1" xfId="0" applyFont="1" applyFill="1" applyBorder="1" applyAlignment="1">
      <alignment horizontal="left" vertical="center" wrapText="1"/>
    </xf>
    <xf numFmtId="0" fontId="2" fillId="4" borderId="0" xfId="0" applyFont="1" applyFill="1" applyAlignment="1">
      <alignment horizontal="right" vertical="center" wrapText="1"/>
    </xf>
    <xf numFmtId="0" fontId="1" fillId="5" borderId="1" xfId="0" applyFont="1" applyFill="1" applyBorder="1" applyAlignment="1">
      <alignment horizontal="center" vertical="center" wrapText="1"/>
    </xf>
    <xf numFmtId="0" fontId="1" fillId="5" borderId="1" xfId="0" applyFont="1" applyFill="1" applyBorder="1" applyAlignment="1">
      <alignment horizontal="left" vertical="center" wrapText="1"/>
    </xf>
    <xf numFmtId="0" fontId="1" fillId="5" borderId="1" xfId="0" applyFont="1" applyFill="1" applyBorder="1" applyAlignment="1">
      <alignment horizontal="center" vertical="center" textRotation="90" wrapText="1"/>
    </xf>
    <xf numFmtId="0" fontId="2" fillId="5" borderId="1" xfId="0" applyFont="1" applyFill="1" applyBorder="1" applyAlignment="1">
      <alignment horizontal="center" vertical="center" textRotation="90" wrapText="1"/>
    </xf>
    <xf numFmtId="0" fontId="2" fillId="7" borderId="0" xfId="0" applyFont="1" applyFill="1" applyAlignment="1">
      <alignment horizontal="center" vertical="center" wrapText="1"/>
    </xf>
    <xf numFmtId="0" fontId="2" fillId="5"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2" fillId="0" borderId="1" xfId="0" applyFont="1" applyBorder="1" applyAlignment="1">
      <alignment horizontal="center" vertical="center" wrapText="1"/>
    </xf>
    <xf numFmtId="0" fontId="1" fillId="0" borderId="0" xfId="0" applyFont="1" applyBorder="1" applyAlignment="1">
      <alignment horizontal="center" vertical="center" wrapText="1"/>
    </xf>
    <xf numFmtId="0" fontId="7" fillId="0" borderId="1" xfId="0" applyFont="1" applyFill="1" applyBorder="1" applyAlignment="1">
      <alignment horizontal="left" vertical="center" wrapText="1"/>
    </xf>
    <xf numFmtId="0" fontId="1" fillId="5"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0" fillId="0" borderId="1" xfId="0" applyBorder="1" applyAlignment="1">
      <alignment horizontal="left" vertical="center" wrapText="1"/>
    </xf>
    <xf numFmtId="0" fontId="0" fillId="0" borderId="3" xfId="0" applyBorder="1" applyAlignment="1">
      <alignment horizontal="left" vertical="top" wrapText="1"/>
    </xf>
    <xf numFmtId="0" fontId="0" fillId="0" borderId="2" xfId="0"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CCFFFF"/>
      <color rgb="FF66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5"/>
  <sheetViews>
    <sheetView tabSelected="1" zoomScale="90" zoomScaleNormal="90" workbookViewId="0">
      <pane xSplit="1" ySplit="3" topLeftCell="B4" activePane="bottomRight" state="frozen"/>
      <selection pane="topRight" activeCell="B1" sqref="B1"/>
      <selection pane="bottomLeft" activeCell="A4" sqref="A4"/>
      <selection pane="bottomRight" activeCell="C97" sqref="C97"/>
    </sheetView>
  </sheetViews>
  <sheetFormatPr defaultColWidth="11.42578125" defaultRowHeight="15" x14ac:dyDescent="0.25"/>
  <cols>
    <col min="1" max="1" width="5.42578125" style="3" bestFit="1" customWidth="1"/>
    <col min="2" max="2" width="6.28515625" style="3" bestFit="1" customWidth="1"/>
    <col min="3" max="3" width="30.5703125" style="23" customWidth="1"/>
    <col min="4" max="4" width="54.42578125" style="4" customWidth="1"/>
    <col min="5" max="6" width="9" style="9" bestFit="1" customWidth="1"/>
    <col min="7" max="7" width="3.85546875" style="9" bestFit="1" customWidth="1"/>
    <col min="8" max="8" width="3.85546875" style="10" bestFit="1" customWidth="1"/>
    <col min="9" max="14" width="3.85546875" style="1" bestFit="1" customWidth="1"/>
    <col min="15" max="15" width="3.85546875" style="4" bestFit="1" customWidth="1"/>
    <col min="16" max="16384" width="11.42578125" style="1"/>
  </cols>
  <sheetData>
    <row r="1" spans="1:15" ht="15.75" x14ac:dyDescent="0.25">
      <c r="D1" s="40" t="s">
        <v>138</v>
      </c>
      <c r="E1" s="20">
        <f>SUM(E4:E104)</f>
        <v>111.5</v>
      </c>
      <c r="F1" s="20">
        <f>SUM(F4:F104)</f>
        <v>307.5</v>
      </c>
      <c r="G1" s="20"/>
      <c r="H1" s="20"/>
      <c r="I1" s="20"/>
      <c r="J1" s="20"/>
      <c r="K1" s="20"/>
      <c r="L1" s="20"/>
      <c r="M1" s="20"/>
      <c r="N1" s="20"/>
    </row>
    <row r="2" spans="1:15" ht="15.75" x14ac:dyDescent="0.25">
      <c r="D2" s="40" t="s">
        <v>141</v>
      </c>
      <c r="E2" s="21">
        <f>E1*150</f>
        <v>16725</v>
      </c>
      <c r="F2" s="21">
        <f>F1*150</f>
        <v>46125</v>
      </c>
      <c r="G2" s="20"/>
      <c r="H2" s="20"/>
      <c r="I2" s="20"/>
      <c r="J2" s="20"/>
      <c r="K2" s="20"/>
      <c r="L2" s="20"/>
      <c r="M2" s="20"/>
      <c r="N2" s="20"/>
    </row>
    <row r="3" spans="1:15" s="2" customFormat="1" ht="77.25" x14ac:dyDescent="0.25">
      <c r="A3" s="53" t="s">
        <v>0</v>
      </c>
      <c r="B3" s="53"/>
      <c r="C3" s="41" t="s">
        <v>143</v>
      </c>
      <c r="D3" s="42" t="s">
        <v>139</v>
      </c>
      <c r="E3" s="44" t="s">
        <v>182</v>
      </c>
      <c r="F3" s="44" t="s">
        <v>181</v>
      </c>
      <c r="G3" s="44" t="s">
        <v>137</v>
      </c>
      <c r="H3" s="44" t="s">
        <v>6</v>
      </c>
      <c r="I3" s="43" t="s">
        <v>4</v>
      </c>
      <c r="J3" s="43" t="s">
        <v>3</v>
      </c>
      <c r="K3" s="43" t="s">
        <v>1</v>
      </c>
      <c r="L3" s="43" t="s">
        <v>2</v>
      </c>
      <c r="M3" s="43" t="s">
        <v>5</v>
      </c>
      <c r="N3" s="43" t="s">
        <v>7</v>
      </c>
      <c r="O3" s="43" t="s">
        <v>15</v>
      </c>
    </row>
    <row r="4" spans="1:15" s="2" customFormat="1" x14ac:dyDescent="0.25">
      <c r="A4" s="30">
        <v>1</v>
      </c>
      <c r="B4" s="30"/>
      <c r="C4" s="31" t="s">
        <v>31</v>
      </c>
      <c r="D4" s="31"/>
      <c r="E4" s="45"/>
      <c r="F4" s="45"/>
      <c r="G4" s="32"/>
      <c r="H4" s="32"/>
      <c r="I4" s="33"/>
      <c r="J4" s="33"/>
      <c r="K4" s="33"/>
      <c r="L4" s="33"/>
      <c r="M4" s="33"/>
      <c r="N4" s="33"/>
      <c r="O4" s="31"/>
    </row>
    <row r="5" spans="1:15" x14ac:dyDescent="0.25">
      <c r="A5" s="8" t="s">
        <v>9</v>
      </c>
      <c r="B5" s="8"/>
      <c r="C5" s="22" t="s">
        <v>10</v>
      </c>
      <c r="D5" s="56" t="s">
        <v>180</v>
      </c>
      <c r="E5" s="50">
        <v>20</v>
      </c>
      <c r="F5" s="50">
        <v>60</v>
      </c>
      <c r="G5" s="11" t="s">
        <v>136</v>
      </c>
      <c r="H5" s="12"/>
      <c r="I5" s="13" t="s">
        <v>8</v>
      </c>
      <c r="J5" s="13" t="s">
        <v>8</v>
      </c>
      <c r="K5" s="13"/>
      <c r="L5" s="13"/>
      <c r="M5" s="13"/>
      <c r="N5" s="13"/>
      <c r="O5" s="5"/>
    </row>
    <row r="6" spans="1:15" ht="318" customHeight="1" x14ac:dyDescent="0.25">
      <c r="A6" s="8" t="s">
        <v>13</v>
      </c>
      <c r="B6" s="8"/>
      <c r="C6" s="22" t="s">
        <v>11</v>
      </c>
      <c r="D6" s="57"/>
      <c r="E6" s="50"/>
      <c r="F6" s="50"/>
      <c r="G6" s="11" t="s">
        <v>136</v>
      </c>
      <c r="H6" s="12"/>
      <c r="I6" s="13" t="s">
        <v>8</v>
      </c>
      <c r="J6" s="13" t="s">
        <v>8</v>
      </c>
      <c r="K6" s="13"/>
      <c r="L6" s="13"/>
      <c r="M6" s="13"/>
      <c r="N6" s="13"/>
      <c r="O6" s="5"/>
    </row>
    <row r="7" spans="1:15" ht="60" x14ac:dyDescent="0.25">
      <c r="A7" s="8" t="s">
        <v>14</v>
      </c>
      <c r="B7" s="8"/>
      <c r="C7" s="22" t="s">
        <v>12</v>
      </c>
      <c r="D7" s="5" t="s">
        <v>129</v>
      </c>
      <c r="E7" s="11">
        <v>15</v>
      </c>
      <c r="F7" s="11">
        <v>40</v>
      </c>
      <c r="G7" s="11" t="s">
        <v>136</v>
      </c>
      <c r="H7" s="12"/>
      <c r="I7" s="13" t="s">
        <v>8</v>
      </c>
      <c r="J7" s="13"/>
      <c r="K7" s="13"/>
      <c r="L7" s="13" t="s">
        <v>8</v>
      </c>
      <c r="M7" s="13"/>
      <c r="N7" s="13"/>
      <c r="O7" s="5"/>
    </row>
    <row r="8" spans="1:15" ht="30" x14ac:dyDescent="0.25">
      <c r="B8" s="25" t="s">
        <v>146</v>
      </c>
      <c r="C8" s="54" t="s">
        <v>145</v>
      </c>
      <c r="D8" s="54"/>
      <c r="E8" s="54"/>
      <c r="F8" s="54"/>
      <c r="G8" s="54"/>
      <c r="H8" s="54"/>
      <c r="I8" s="54"/>
      <c r="J8" s="54"/>
      <c r="K8" s="54"/>
      <c r="L8" s="54"/>
      <c r="M8" s="54"/>
      <c r="N8" s="54"/>
      <c r="O8" s="54"/>
    </row>
    <row r="9" spans="1:15" ht="120" x14ac:dyDescent="0.25">
      <c r="A9" s="18" t="s">
        <v>133</v>
      </c>
      <c r="B9" s="18"/>
      <c r="C9" s="14" t="s">
        <v>36</v>
      </c>
      <c r="D9" s="6" t="s">
        <v>142</v>
      </c>
      <c r="E9" s="7">
        <v>10</v>
      </c>
      <c r="F9" s="7">
        <v>30</v>
      </c>
      <c r="G9" s="7" t="s">
        <v>136</v>
      </c>
      <c r="H9" s="15"/>
      <c r="I9" s="16" t="s">
        <v>8</v>
      </c>
      <c r="J9" s="16"/>
      <c r="K9" s="16" t="s">
        <v>8</v>
      </c>
      <c r="L9" s="16"/>
      <c r="M9" s="16"/>
      <c r="N9" s="16"/>
      <c r="O9" s="6"/>
    </row>
    <row r="10" spans="1:15" ht="30" x14ac:dyDescent="0.25">
      <c r="A10" s="18" t="s">
        <v>134</v>
      </c>
      <c r="B10" s="18"/>
      <c r="C10" s="14" t="s">
        <v>36</v>
      </c>
      <c r="D10" s="6" t="s">
        <v>135</v>
      </c>
      <c r="E10" s="7">
        <v>5</v>
      </c>
      <c r="F10" s="7">
        <v>15</v>
      </c>
      <c r="G10" s="7"/>
      <c r="H10" s="15"/>
      <c r="I10" s="16"/>
      <c r="J10" s="16"/>
      <c r="K10" s="16"/>
      <c r="L10" s="16"/>
      <c r="M10" s="16"/>
      <c r="N10" s="16" t="s">
        <v>8</v>
      </c>
      <c r="O10" s="6"/>
    </row>
    <row r="11" spans="1:15" ht="105" x14ac:dyDescent="0.25">
      <c r="A11" s="48" t="s">
        <v>95</v>
      </c>
      <c r="B11" s="8"/>
      <c r="C11" s="22" t="s">
        <v>16</v>
      </c>
      <c r="D11" s="5" t="s">
        <v>130</v>
      </c>
      <c r="E11" s="11">
        <v>20</v>
      </c>
      <c r="F11" s="11">
        <v>40</v>
      </c>
      <c r="G11" s="11" t="s">
        <v>136</v>
      </c>
      <c r="H11" s="12"/>
      <c r="I11" s="13"/>
      <c r="J11" s="13"/>
      <c r="K11" s="13"/>
      <c r="L11" s="13"/>
      <c r="M11" s="13" t="s">
        <v>8</v>
      </c>
      <c r="N11" s="13"/>
      <c r="O11" s="5"/>
    </row>
    <row r="12" spans="1:15" ht="30" x14ac:dyDescent="0.25">
      <c r="A12" s="49"/>
      <c r="B12" s="25" t="s">
        <v>146</v>
      </c>
      <c r="C12" s="54" t="s">
        <v>166</v>
      </c>
      <c r="D12" s="54"/>
      <c r="E12" s="54"/>
      <c r="F12" s="54"/>
      <c r="G12" s="54"/>
      <c r="H12" s="54"/>
      <c r="I12" s="54"/>
      <c r="J12" s="54"/>
      <c r="K12" s="54"/>
      <c r="L12" s="54"/>
      <c r="M12" s="54"/>
      <c r="N12" s="54"/>
      <c r="O12" s="54"/>
    </row>
    <row r="13" spans="1:15" ht="60" x14ac:dyDescent="0.25">
      <c r="A13" s="48" t="s">
        <v>96</v>
      </c>
      <c r="B13" s="8"/>
      <c r="C13" s="22" t="s">
        <v>19</v>
      </c>
      <c r="D13" s="5" t="s">
        <v>167</v>
      </c>
      <c r="E13" s="11">
        <v>5</v>
      </c>
      <c r="F13" s="11">
        <v>30</v>
      </c>
      <c r="G13" s="11" t="s">
        <v>136</v>
      </c>
      <c r="H13" s="12"/>
      <c r="I13" s="13"/>
      <c r="J13" s="13"/>
      <c r="K13" s="13"/>
      <c r="L13" s="13"/>
      <c r="M13" s="13"/>
      <c r="N13" s="13" t="s">
        <v>8</v>
      </c>
      <c r="O13" s="5"/>
    </row>
    <row r="14" spans="1:15" ht="30" x14ac:dyDescent="0.25">
      <c r="A14" s="49"/>
      <c r="B14" s="25" t="s">
        <v>146</v>
      </c>
      <c r="C14" s="54" t="s">
        <v>165</v>
      </c>
      <c r="D14" s="54"/>
      <c r="E14" s="54"/>
      <c r="F14" s="54"/>
      <c r="G14" s="54"/>
      <c r="H14" s="54"/>
      <c r="I14" s="54"/>
      <c r="J14" s="54"/>
      <c r="K14" s="54"/>
      <c r="L14" s="54"/>
      <c r="M14" s="54"/>
      <c r="N14" s="54"/>
      <c r="O14" s="54"/>
    </row>
    <row r="15" spans="1:15" x14ac:dyDescent="0.25">
      <c r="A15" s="34">
        <v>2</v>
      </c>
      <c r="B15" s="34"/>
      <c r="C15" s="35" t="s">
        <v>32</v>
      </c>
      <c r="D15" s="36"/>
      <c r="E15" s="37"/>
      <c r="F15" s="37"/>
      <c r="G15" s="37"/>
      <c r="H15" s="38"/>
      <c r="I15" s="36"/>
      <c r="J15" s="36"/>
      <c r="K15" s="36"/>
      <c r="L15" s="36"/>
      <c r="M15" s="36"/>
      <c r="N15" s="36"/>
      <c r="O15" s="36"/>
    </row>
    <row r="16" spans="1:15" ht="30" x14ac:dyDescent="0.25">
      <c r="A16" s="48" t="s">
        <v>97</v>
      </c>
      <c r="B16" s="8"/>
      <c r="C16" s="22" t="s">
        <v>17</v>
      </c>
      <c r="D16" s="5" t="s">
        <v>74</v>
      </c>
      <c r="E16" s="11">
        <v>0.25</v>
      </c>
      <c r="F16" s="11">
        <v>0.25</v>
      </c>
      <c r="G16" s="11"/>
      <c r="H16" s="12"/>
      <c r="I16" s="13"/>
      <c r="J16" s="13"/>
      <c r="K16" s="13"/>
      <c r="L16" s="13"/>
      <c r="M16" s="13"/>
      <c r="N16" s="13" t="s">
        <v>8</v>
      </c>
      <c r="O16" s="5"/>
    </row>
    <row r="17" spans="1:15" ht="30" x14ac:dyDescent="0.25">
      <c r="A17" s="49"/>
      <c r="B17" s="25" t="s">
        <v>146</v>
      </c>
      <c r="C17" s="54" t="s">
        <v>168</v>
      </c>
      <c r="D17" s="54"/>
      <c r="E17" s="54"/>
      <c r="F17" s="54"/>
      <c r="G17" s="54"/>
      <c r="H17" s="54"/>
      <c r="I17" s="54"/>
      <c r="J17" s="54"/>
      <c r="K17" s="54"/>
      <c r="L17" s="54"/>
      <c r="M17" s="54"/>
      <c r="N17" s="54"/>
      <c r="O17" s="54"/>
    </row>
    <row r="18" spans="1:15" ht="30" x14ac:dyDescent="0.25">
      <c r="A18" s="48" t="s">
        <v>98</v>
      </c>
      <c r="B18" s="8"/>
      <c r="C18" s="22" t="s">
        <v>18</v>
      </c>
      <c r="D18" s="5" t="s">
        <v>75</v>
      </c>
      <c r="E18" s="11">
        <v>1</v>
      </c>
      <c r="F18" s="11">
        <v>3</v>
      </c>
      <c r="G18" s="11"/>
      <c r="H18" s="12"/>
      <c r="I18" s="13"/>
      <c r="J18" s="13"/>
      <c r="K18" s="13"/>
      <c r="L18" s="13"/>
      <c r="M18" s="13"/>
      <c r="N18" s="13" t="s">
        <v>8</v>
      </c>
      <c r="O18" s="5"/>
    </row>
    <row r="19" spans="1:15" ht="30" x14ac:dyDescent="0.25">
      <c r="A19" s="49"/>
      <c r="B19" s="25" t="s">
        <v>146</v>
      </c>
      <c r="C19" s="54" t="s">
        <v>169</v>
      </c>
      <c r="D19" s="54"/>
      <c r="E19" s="54"/>
      <c r="F19" s="54"/>
      <c r="G19" s="54"/>
      <c r="H19" s="54"/>
      <c r="I19" s="54"/>
      <c r="J19" s="54"/>
      <c r="K19" s="54"/>
      <c r="L19" s="54"/>
      <c r="M19" s="54"/>
      <c r="N19" s="54"/>
      <c r="O19" s="54"/>
    </row>
    <row r="20" spans="1:15" ht="30" x14ac:dyDescent="0.25">
      <c r="A20" s="48" t="s">
        <v>99</v>
      </c>
      <c r="B20" s="8"/>
      <c r="C20" s="22" t="s">
        <v>20</v>
      </c>
      <c r="D20" s="5" t="s">
        <v>131</v>
      </c>
      <c r="E20" s="46"/>
      <c r="F20" s="46"/>
      <c r="G20" s="11" t="s">
        <v>136</v>
      </c>
      <c r="H20" s="12" t="s">
        <v>8</v>
      </c>
      <c r="I20" s="13"/>
      <c r="J20" s="13"/>
      <c r="K20" s="13"/>
      <c r="L20" s="13"/>
      <c r="M20" s="13"/>
      <c r="N20" s="13"/>
      <c r="O20" s="5"/>
    </row>
    <row r="21" spans="1:15" ht="45" customHeight="1" x14ac:dyDescent="0.25">
      <c r="A21" s="49"/>
      <c r="B21" s="25" t="s">
        <v>146</v>
      </c>
      <c r="C21" s="54" t="s">
        <v>170</v>
      </c>
      <c r="D21" s="54"/>
      <c r="E21" s="54"/>
      <c r="F21" s="54"/>
      <c r="G21" s="54"/>
      <c r="H21" s="54"/>
      <c r="I21" s="54"/>
      <c r="J21" s="54"/>
      <c r="K21" s="54"/>
      <c r="L21" s="54"/>
      <c r="M21" s="54"/>
      <c r="N21" s="54"/>
      <c r="O21" s="54"/>
    </row>
    <row r="22" spans="1:15" ht="30" x14ac:dyDescent="0.25">
      <c r="A22" s="48" t="s">
        <v>100</v>
      </c>
      <c r="B22" s="8"/>
      <c r="C22" s="24" t="s">
        <v>21</v>
      </c>
      <c r="D22" s="5" t="s">
        <v>94</v>
      </c>
      <c r="E22" s="7">
        <v>0.25</v>
      </c>
      <c r="F22" s="7">
        <v>0.25</v>
      </c>
      <c r="G22" s="11" t="s">
        <v>136</v>
      </c>
      <c r="H22" s="12"/>
      <c r="I22" s="13"/>
      <c r="J22" s="13"/>
      <c r="K22" s="13"/>
      <c r="L22" s="13"/>
      <c r="M22" s="13"/>
      <c r="N22" s="13" t="s">
        <v>8</v>
      </c>
      <c r="O22" s="5"/>
    </row>
    <row r="23" spans="1:15" ht="45" customHeight="1" x14ac:dyDescent="0.25">
      <c r="A23" s="49"/>
      <c r="B23" s="25" t="s">
        <v>146</v>
      </c>
      <c r="C23" s="54" t="s">
        <v>140</v>
      </c>
      <c r="D23" s="54"/>
      <c r="E23" s="54"/>
      <c r="F23" s="54"/>
      <c r="G23" s="54"/>
      <c r="H23" s="54"/>
      <c r="I23" s="54"/>
      <c r="J23" s="54"/>
      <c r="K23" s="54"/>
      <c r="L23" s="54"/>
      <c r="M23" s="54"/>
      <c r="N23" s="54"/>
      <c r="O23" s="54"/>
    </row>
    <row r="24" spans="1:15" ht="30" x14ac:dyDescent="0.25">
      <c r="A24" s="48" t="s">
        <v>101</v>
      </c>
      <c r="B24" s="8"/>
      <c r="C24" s="22" t="s">
        <v>22</v>
      </c>
      <c r="D24" s="5" t="s">
        <v>78</v>
      </c>
      <c r="E24" s="11">
        <v>0.5</v>
      </c>
      <c r="F24" s="11">
        <v>1</v>
      </c>
      <c r="G24" s="11" t="s">
        <v>136</v>
      </c>
      <c r="H24" s="12"/>
      <c r="I24" s="13"/>
      <c r="J24" s="13"/>
      <c r="K24" s="13"/>
      <c r="L24" s="13"/>
      <c r="M24" s="13"/>
      <c r="N24" s="13" t="s">
        <v>8</v>
      </c>
      <c r="O24" s="5"/>
    </row>
    <row r="25" spans="1:15" ht="45" customHeight="1" x14ac:dyDescent="0.25">
      <c r="A25" s="49"/>
      <c r="B25" s="25" t="s">
        <v>146</v>
      </c>
      <c r="C25" s="54" t="s">
        <v>171</v>
      </c>
      <c r="D25" s="54"/>
      <c r="E25" s="54"/>
      <c r="F25" s="54"/>
      <c r="G25" s="54"/>
      <c r="H25" s="54"/>
      <c r="I25" s="54"/>
      <c r="J25" s="54"/>
      <c r="K25" s="54"/>
      <c r="L25" s="54"/>
      <c r="M25" s="54"/>
      <c r="N25" s="54"/>
      <c r="O25" s="54"/>
    </row>
    <row r="26" spans="1:15" ht="30" x14ac:dyDescent="0.25">
      <c r="A26" s="8" t="s">
        <v>102</v>
      </c>
      <c r="B26" s="8"/>
      <c r="C26" s="22" t="s">
        <v>172</v>
      </c>
      <c r="D26" s="5" t="s">
        <v>77</v>
      </c>
      <c r="E26" s="46">
        <v>0</v>
      </c>
      <c r="F26" s="46">
        <v>0</v>
      </c>
      <c r="G26" s="11"/>
      <c r="H26" s="12"/>
      <c r="I26" s="13"/>
      <c r="J26" s="13"/>
      <c r="K26" s="13"/>
      <c r="L26" s="13"/>
      <c r="M26" s="13"/>
      <c r="N26" s="13" t="s">
        <v>8</v>
      </c>
      <c r="O26" s="5"/>
    </row>
    <row r="27" spans="1:15" ht="30" x14ac:dyDescent="0.25">
      <c r="A27" s="48" t="s">
        <v>103</v>
      </c>
      <c r="B27" s="8"/>
      <c r="C27" s="22" t="s">
        <v>23</v>
      </c>
      <c r="D27" s="5" t="s">
        <v>79</v>
      </c>
      <c r="E27" s="11">
        <v>0.5</v>
      </c>
      <c r="F27" s="11">
        <v>0.5</v>
      </c>
      <c r="G27" s="11"/>
      <c r="H27" s="12"/>
      <c r="I27" s="13"/>
      <c r="J27" s="13"/>
      <c r="K27" s="13"/>
      <c r="L27" s="13"/>
      <c r="M27" s="13"/>
      <c r="N27" s="13" t="s">
        <v>8</v>
      </c>
      <c r="O27" s="5"/>
    </row>
    <row r="28" spans="1:15" ht="45" customHeight="1" x14ac:dyDescent="0.25">
      <c r="A28" s="49"/>
      <c r="B28" s="25" t="s">
        <v>146</v>
      </c>
      <c r="C28" s="54" t="s">
        <v>173</v>
      </c>
      <c r="D28" s="54"/>
      <c r="E28" s="54"/>
      <c r="F28" s="54"/>
      <c r="G28" s="54"/>
      <c r="H28" s="54"/>
      <c r="I28" s="54"/>
      <c r="J28" s="54"/>
      <c r="K28" s="54"/>
      <c r="L28" s="54"/>
      <c r="M28" s="54"/>
      <c r="N28" s="54"/>
      <c r="O28" s="54"/>
    </row>
    <row r="29" spans="1:15" s="2" customFormat="1" x14ac:dyDescent="0.25">
      <c r="A29" s="34">
        <v>3</v>
      </c>
      <c r="B29" s="34"/>
      <c r="C29" s="35" t="s">
        <v>33</v>
      </c>
      <c r="D29" s="35"/>
      <c r="E29" s="37"/>
      <c r="F29" s="37"/>
      <c r="G29" s="37"/>
      <c r="H29" s="37"/>
      <c r="I29" s="35"/>
      <c r="J29" s="35"/>
      <c r="K29" s="35"/>
      <c r="L29" s="35"/>
      <c r="M29" s="35"/>
      <c r="N29" s="35"/>
      <c r="O29" s="35"/>
    </row>
    <row r="30" spans="1:15" ht="30" x14ac:dyDescent="0.25">
      <c r="A30" s="48" t="s">
        <v>104</v>
      </c>
      <c r="B30" s="8"/>
      <c r="C30" s="22" t="s">
        <v>24</v>
      </c>
      <c r="D30" s="19" t="s">
        <v>77</v>
      </c>
      <c r="E30" s="11">
        <v>0.2</v>
      </c>
      <c r="F30" s="11">
        <v>0.2</v>
      </c>
      <c r="G30" s="11"/>
      <c r="H30" s="12" t="s">
        <v>8</v>
      </c>
      <c r="I30" s="13"/>
      <c r="J30" s="13"/>
      <c r="K30" s="13"/>
      <c r="L30" s="13"/>
      <c r="M30" s="13"/>
      <c r="N30" s="13"/>
      <c r="O30" s="5"/>
    </row>
    <row r="31" spans="1:15" ht="45" customHeight="1" x14ac:dyDescent="0.25">
      <c r="A31" s="49"/>
      <c r="B31" s="25" t="s">
        <v>146</v>
      </c>
      <c r="C31" s="54" t="s">
        <v>174</v>
      </c>
      <c r="D31" s="54"/>
      <c r="E31" s="54"/>
      <c r="F31" s="54"/>
      <c r="G31" s="54"/>
      <c r="H31" s="54"/>
      <c r="I31" s="54"/>
      <c r="J31" s="54"/>
      <c r="K31" s="54"/>
      <c r="L31" s="54"/>
      <c r="M31" s="54"/>
      <c r="N31" s="54"/>
      <c r="O31" s="19"/>
    </row>
    <row r="32" spans="1:15" ht="30" x14ac:dyDescent="0.25">
      <c r="A32" s="48" t="s">
        <v>105</v>
      </c>
      <c r="B32" s="8"/>
      <c r="C32" s="22" t="s">
        <v>25</v>
      </c>
      <c r="D32" s="19" t="s">
        <v>77</v>
      </c>
      <c r="E32" s="11">
        <v>0.2</v>
      </c>
      <c r="F32" s="11">
        <v>0.2</v>
      </c>
      <c r="G32" s="11" t="s">
        <v>136</v>
      </c>
      <c r="H32" s="12"/>
      <c r="I32" s="13"/>
      <c r="J32" s="13"/>
      <c r="K32" s="13"/>
      <c r="L32" s="13"/>
      <c r="M32" s="13"/>
      <c r="N32" s="13" t="s">
        <v>8</v>
      </c>
      <c r="O32" s="5"/>
    </row>
    <row r="33" spans="1:15" ht="30" x14ac:dyDescent="0.25">
      <c r="A33" s="49"/>
      <c r="B33" s="25" t="s">
        <v>146</v>
      </c>
      <c r="C33" s="54" t="s">
        <v>164</v>
      </c>
      <c r="D33" s="54"/>
      <c r="E33" s="54"/>
      <c r="F33" s="54"/>
      <c r="G33" s="54"/>
      <c r="H33" s="54"/>
      <c r="I33" s="54"/>
      <c r="J33" s="54"/>
      <c r="K33" s="54"/>
      <c r="L33" s="54"/>
      <c r="M33" s="54"/>
      <c r="N33" s="54"/>
      <c r="O33" s="19"/>
    </row>
    <row r="34" spans="1:15" x14ac:dyDescent="0.25">
      <c r="A34" s="48" t="s">
        <v>106</v>
      </c>
      <c r="B34" s="8"/>
      <c r="C34" s="22" t="s">
        <v>26</v>
      </c>
      <c r="D34" s="19" t="s">
        <v>77</v>
      </c>
      <c r="E34" s="11">
        <v>0.1</v>
      </c>
      <c r="F34" s="11">
        <v>0.1</v>
      </c>
      <c r="G34" s="11" t="s">
        <v>136</v>
      </c>
      <c r="H34" s="12"/>
      <c r="I34" s="13"/>
      <c r="J34" s="13"/>
      <c r="K34" s="13"/>
      <c r="L34" s="13"/>
      <c r="M34" s="13"/>
      <c r="N34" s="13" t="s">
        <v>8</v>
      </c>
      <c r="O34" s="5"/>
    </row>
    <row r="35" spans="1:15" ht="30" x14ac:dyDescent="0.25">
      <c r="A35" s="49"/>
      <c r="B35" s="25" t="s">
        <v>146</v>
      </c>
      <c r="C35" s="54" t="s">
        <v>163</v>
      </c>
      <c r="D35" s="54"/>
      <c r="E35" s="54"/>
      <c r="F35" s="54"/>
      <c r="G35" s="54"/>
      <c r="H35" s="54"/>
      <c r="I35" s="54"/>
      <c r="J35" s="54"/>
      <c r="K35" s="54"/>
      <c r="L35" s="54"/>
      <c r="M35" s="54"/>
      <c r="N35" s="54"/>
      <c r="O35" s="54"/>
    </row>
    <row r="36" spans="1:15" s="2" customFormat="1" x14ac:dyDescent="0.25">
      <c r="A36" s="34">
        <v>4</v>
      </c>
      <c r="B36" s="34"/>
      <c r="C36" s="35" t="s">
        <v>28</v>
      </c>
      <c r="D36" s="35"/>
      <c r="E36" s="37"/>
      <c r="F36" s="37"/>
      <c r="G36" s="37"/>
      <c r="H36" s="37"/>
      <c r="I36" s="35"/>
      <c r="J36" s="35"/>
      <c r="K36" s="35"/>
      <c r="L36" s="35"/>
      <c r="M36" s="35"/>
      <c r="N36" s="35"/>
      <c r="O36" s="35"/>
    </row>
    <row r="37" spans="1:15" x14ac:dyDescent="0.25">
      <c r="A37" s="48" t="s">
        <v>107</v>
      </c>
      <c r="B37" s="8"/>
      <c r="C37" s="22" t="s">
        <v>27</v>
      </c>
      <c r="D37" s="5" t="s">
        <v>74</v>
      </c>
      <c r="E37" s="11">
        <v>0.5</v>
      </c>
      <c r="F37" s="11">
        <v>0.5</v>
      </c>
      <c r="G37" s="11" t="s">
        <v>136</v>
      </c>
      <c r="H37" s="12"/>
      <c r="I37" s="13"/>
      <c r="J37" s="13"/>
      <c r="K37" s="13"/>
      <c r="L37" s="13"/>
      <c r="M37" s="13"/>
      <c r="N37" s="13"/>
      <c r="O37" s="5"/>
    </row>
    <row r="38" spans="1:15" ht="60" customHeight="1" x14ac:dyDescent="0.25">
      <c r="A38" s="49"/>
      <c r="B38" s="25" t="s">
        <v>146</v>
      </c>
      <c r="C38" s="54" t="s">
        <v>175</v>
      </c>
      <c r="D38" s="54"/>
      <c r="E38" s="54"/>
      <c r="F38" s="54"/>
      <c r="G38" s="54"/>
      <c r="H38" s="54"/>
      <c r="I38" s="54"/>
      <c r="J38" s="54"/>
      <c r="K38" s="54"/>
      <c r="L38" s="54"/>
      <c r="M38" s="54"/>
      <c r="N38" s="54"/>
      <c r="O38" s="54"/>
    </row>
    <row r="39" spans="1:15" ht="30" x14ac:dyDescent="0.25">
      <c r="A39" s="48" t="s">
        <v>108</v>
      </c>
      <c r="B39" s="8"/>
      <c r="C39" s="22" t="s">
        <v>34</v>
      </c>
      <c r="D39" s="5" t="s">
        <v>80</v>
      </c>
      <c r="E39" s="46">
        <v>0</v>
      </c>
      <c r="F39" s="46">
        <v>0</v>
      </c>
      <c r="G39" s="11" t="s">
        <v>136</v>
      </c>
      <c r="H39" s="12"/>
      <c r="I39" s="13"/>
      <c r="J39" s="13"/>
      <c r="K39" s="13"/>
      <c r="L39" s="13"/>
      <c r="M39" s="13"/>
      <c r="N39" s="13"/>
      <c r="O39" s="5"/>
    </row>
    <row r="40" spans="1:15" ht="30" x14ac:dyDescent="0.25">
      <c r="A40" s="49"/>
      <c r="B40" s="25" t="s">
        <v>146</v>
      </c>
      <c r="C40" s="54" t="s">
        <v>176</v>
      </c>
      <c r="D40" s="54"/>
      <c r="E40" s="54"/>
      <c r="F40" s="54"/>
      <c r="G40" s="54"/>
      <c r="H40" s="54"/>
      <c r="I40" s="54"/>
      <c r="J40" s="54"/>
      <c r="K40" s="54"/>
      <c r="L40" s="54"/>
      <c r="M40" s="54"/>
      <c r="N40" s="54"/>
      <c r="O40" s="54"/>
    </row>
    <row r="41" spans="1:15" s="2" customFormat="1" x14ac:dyDescent="0.25">
      <c r="A41" s="34">
        <v>5</v>
      </c>
      <c r="B41" s="34"/>
      <c r="C41" s="35" t="s">
        <v>36</v>
      </c>
      <c r="D41" s="35"/>
      <c r="E41" s="37"/>
      <c r="F41" s="37"/>
      <c r="G41" s="37"/>
      <c r="H41" s="37"/>
      <c r="I41" s="35"/>
      <c r="J41" s="35"/>
      <c r="K41" s="35"/>
      <c r="L41" s="35"/>
      <c r="M41" s="35"/>
      <c r="N41" s="35"/>
      <c r="O41" s="35"/>
    </row>
    <row r="42" spans="1:15" ht="45" x14ac:dyDescent="0.25">
      <c r="A42" s="48" t="s">
        <v>109</v>
      </c>
      <c r="B42" s="8"/>
      <c r="C42" s="22" t="s">
        <v>35</v>
      </c>
      <c r="D42" s="5" t="s">
        <v>81</v>
      </c>
      <c r="E42" s="47"/>
      <c r="F42" s="47"/>
      <c r="G42" s="11" t="s">
        <v>136</v>
      </c>
      <c r="H42" s="12" t="s">
        <v>8</v>
      </c>
      <c r="I42" s="13"/>
      <c r="J42" s="13" t="s">
        <v>132</v>
      </c>
      <c r="K42" s="13"/>
      <c r="L42" s="13"/>
      <c r="M42" s="13"/>
      <c r="N42" s="13"/>
      <c r="O42" s="5"/>
    </row>
    <row r="43" spans="1:15" ht="61.5" customHeight="1" x14ac:dyDescent="0.25">
      <c r="A43" s="49"/>
      <c r="B43" s="25" t="s">
        <v>146</v>
      </c>
      <c r="C43" s="54" t="s">
        <v>162</v>
      </c>
      <c r="D43" s="54"/>
      <c r="E43" s="54"/>
      <c r="F43" s="54"/>
      <c r="G43" s="54"/>
      <c r="H43" s="54"/>
      <c r="I43" s="54"/>
      <c r="J43" s="54"/>
      <c r="K43" s="54"/>
      <c r="L43" s="54"/>
      <c r="M43" s="54"/>
      <c r="N43" s="54"/>
      <c r="O43" s="54"/>
    </row>
    <row r="44" spans="1:15" x14ac:dyDescent="0.25">
      <c r="A44" s="48" t="s">
        <v>110</v>
      </c>
      <c r="B44" s="8"/>
      <c r="C44" s="22" t="s">
        <v>29</v>
      </c>
      <c r="D44" s="5" t="s">
        <v>76</v>
      </c>
      <c r="E44" s="46">
        <v>0</v>
      </c>
      <c r="F44" s="46">
        <v>0</v>
      </c>
      <c r="G44" s="11" t="s">
        <v>136</v>
      </c>
      <c r="H44" s="12"/>
      <c r="I44" s="13"/>
      <c r="J44" s="13"/>
      <c r="K44" s="13"/>
      <c r="L44" s="13"/>
      <c r="M44" s="13"/>
      <c r="N44" s="13"/>
      <c r="O44" s="5"/>
    </row>
    <row r="45" spans="1:15" ht="30" customHeight="1" x14ac:dyDescent="0.25">
      <c r="A45" s="49"/>
      <c r="B45" s="25" t="s">
        <v>146</v>
      </c>
      <c r="C45" s="54" t="s">
        <v>161</v>
      </c>
      <c r="D45" s="54"/>
      <c r="E45" s="54"/>
      <c r="F45" s="54"/>
      <c r="G45" s="54"/>
      <c r="H45" s="54"/>
      <c r="I45" s="54"/>
      <c r="J45" s="54"/>
      <c r="K45" s="54"/>
      <c r="L45" s="54"/>
      <c r="M45" s="54"/>
      <c r="N45" s="54"/>
      <c r="O45" s="54"/>
    </row>
    <row r="46" spans="1:15" ht="60" x14ac:dyDescent="0.25">
      <c r="A46" s="48" t="s">
        <v>111</v>
      </c>
      <c r="B46" s="8"/>
      <c r="C46" s="22" t="s">
        <v>37</v>
      </c>
      <c r="D46" s="5" t="s">
        <v>82</v>
      </c>
      <c r="E46" s="11">
        <v>3</v>
      </c>
      <c r="F46" s="11">
        <v>6</v>
      </c>
      <c r="G46" s="11" t="s">
        <v>136</v>
      </c>
      <c r="H46" s="12"/>
      <c r="I46" s="13"/>
      <c r="J46" s="13"/>
      <c r="K46" s="13"/>
      <c r="L46" s="13"/>
      <c r="M46" s="13"/>
      <c r="N46" s="13"/>
      <c r="O46" s="5"/>
    </row>
    <row r="47" spans="1:15" ht="105" customHeight="1" x14ac:dyDescent="0.25">
      <c r="A47" s="51"/>
      <c r="B47" s="25" t="s">
        <v>146</v>
      </c>
      <c r="C47" s="54" t="s">
        <v>160</v>
      </c>
      <c r="D47" s="54"/>
      <c r="E47" s="54"/>
      <c r="F47" s="54"/>
      <c r="G47" s="54"/>
      <c r="H47" s="54"/>
      <c r="I47" s="54"/>
      <c r="J47" s="54"/>
      <c r="K47" s="54"/>
      <c r="L47" s="54"/>
      <c r="M47" s="54"/>
      <c r="N47" s="54"/>
      <c r="O47" s="54"/>
    </row>
    <row r="48" spans="1:15" customFormat="1" ht="45" customHeight="1" x14ac:dyDescent="0.25">
      <c r="A48" s="49"/>
      <c r="B48" s="29" t="s">
        <v>177</v>
      </c>
      <c r="C48" s="52" t="s">
        <v>183</v>
      </c>
      <c r="D48" s="52"/>
      <c r="E48" s="52"/>
      <c r="F48" s="52"/>
      <c r="G48" s="52"/>
      <c r="H48" s="52"/>
      <c r="I48" s="52"/>
      <c r="J48" s="52"/>
      <c r="K48" s="52"/>
      <c r="L48" s="52"/>
      <c r="M48" s="52"/>
      <c r="N48" s="52"/>
      <c r="O48" s="52"/>
    </row>
    <row r="49" spans="1:15" s="2" customFormat="1" x14ac:dyDescent="0.25">
      <c r="A49" s="34">
        <v>6</v>
      </c>
      <c r="B49" s="34"/>
      <c r="C49" s="35" t="s">
        <v>38</v>
      </c>
      <c r="D49" s="35"/>
      <c r="E49" s="37"/>
      <c r="F49" s="37"/>
      <c r="G49" s="37"/>
      <c r="H49" s="37"/>
      <c r="I49" s="35"/>
      <c r="J49" s="35"/>
      <c r="K49" s="35"/>
      <c r="L49" s="35"/>
      <c r="M49" s="35"/>
      <c r="N49" s="35"/>
      <c r="O49" s="35"/>
    </row>
    <row r="50" spans="1:15" s="3" customFormat="1" x14ac:dyDescent="0.25">
      <c r="A50" s="34" t="s">
        <v>112</v>
      </c>
      <c r="B50" s="34"/>
      <c r="C50" s="34" t="s">
        <v>39</v>
      </c>
      <c r="D50" s="34"/>
      <c r="E50" s="39"/>
      <c r="F50" s="39"/>
      <c r="G50" s="37"/>
      <c r="H50" s="39"/>
      <c r="I50" s="34"/>
      <c r="J50" s="34"/>
      <c r="K50" s="34"/>
      <c r="L50" s="34"/>
      <c r="M50" s="34"/>
      <c r="N50" s="34"/>
      <c r="O50" s="34"/>
    </row>
    <row r="51" spans="1:15" ht="30" x14ac:dyDescent="0.25">
      <c r="A51" s="8" t="s">
        <v>30</v>
      </c>
      <c r="B51" s="8"/>
      <c r="C51" s="22" t="s">
        <v>40</v>
      </c>
      <c r="D51" s="55" t="s">
        <v>74</v>
      </c>
      <c r="E51" s="50">
        <v>1</v>
      </c>
      <c r="F51" s="50">
        <v>1</v>
      </c>
      <c r="G51" s="11" t="s">
        <v>136</v>
      </c>
      <c r="H51" s="12"/>
      <c r="I51" s="13"/>
      <c r="J51" s="13"/>
      <c r="K51" s="13"/>
      <c r="L51" s="13"/>
      <c r="M51" s="13"/>
      <c r="N51" s="13" t="s">
        <v>8</v>
      </c>
      <c r="O51" s="5"/>
    </row>
    <row r="52" spans="1:15" ht="45" x14ac:dyDescent="0.25">
      <c r="A52" s="8" t="s">
        <v>41</v>
      </c>
      <c r="B52" s="8"/>
      <c r="C52" s="22" t="s">
        <v>42</v>
      </c>
      <c r="D52" s="55"/>
      <c r="E52" s="50"/>
      <c r="F52" s="50"/>
      <c r="G52" s="11" t="s">
        <v>136</v>
      </c>
      <c r="H52" s="12"/>
      <c r="I52" s="13"/>
      <c r="J52" s="13"/>
      <c r="K52" s="13"/>
      <c r="L52" s="13"/>
      <c r="M52" s="13"/>
      <c r="N52" s="13" t="s">
        <v>8</v>
      </c>
      <c r="O52" s="5"/>
    </row>
    <row r="53" spans="1:15" ht="45" x14ac:dyDescent="0.25">
      <c r="A53" s="8" t="s">
        <v>43</v>
      </c>
      <c r="B53" s="8"/>
      <c r="C53" s="22" t="s">
        <v>44</v>
      </c>
      <c r="D53" s="55"/>
      <c r="E53" s="50"/>
      <c r="F53" s="50"/>
      <c r="G53" s="11"/>
      <c r="H53" s="12"/>
      <c r="I53" s="13"/>
      <c r="J53" s="13"/>
      <c r="K53" s="13"/>
      <c r="L53" s="13"/>
      <c r="M53" s="13"/>
      <c r="N53" s="13" t="s">
        <v>8</v>
      </c>
      <c r="O53" s="5"/>
    </row>
    <row r="54" spans="1:15" s="2" customFormat="1" x14ac:dyDescent="0.25">
      <c r="A54" s="26" t="s">
        <v>113</v>
      </c>
      <c r="B54" s="26"/>
      <c r="C54" s="26" t="s">
        <v>45</v>
      </c>
      <c r="D54" s="26"/>
      <c r="E54" s="28"/>
      <c r="F54" s="28"/>
      <c r="G54" s="28"/>
      <c r="H54" s="28"/>
      <c r="I54" s="27"/>
      <c r="J54" s="27"/>
      <c r="K54" s="27"/>
      <c r="L54" s="27"/>
      <c r="M54" s="27"/>
      <c r="N54" s="27"/>
      <c r="O54" s="26"/>
    </row>
    <row r="55" spans="1:15" x14ac:dyDescent="0.25">
      <c r="A55" s="8" t="s">
        <v>46</v>
      </c>
      <c r="B55" s="8"/>
      <c r="C55" s="22" t="s">
        <v>47</v>
      </c>
      <c r="D55" s="5" t="s">
        <v>76</v>
      </c>
      <c r="E55" s="46">
        <v>0</v>
      </c>
      <c r="F55" s="46">
        <v>0</v>
      </c>
      <c r="G55" s="11" t="s">
        <v>136</v>
      </c>
      <c r="H55" s="12"/>
      <c r="I55" s="13"/>
      <c r="J55" s="13"/>
      <c r="K55" s="13"/>
      <c r="L55" s="13"/>
      <c r="M55" s="13"/>
      <c r="N55" s="13" t="s">
        <v>8</v>
      </c>
      <c r="O55" s="5"/>
    </row>
    <row r="56" spans="1:15" x14ac:dyDescent="0.25">
      <c r="A56" s="48" t="s">
        <v>48</v>
      </c>
      <c r="B56" s="8"/>
      <c r="C56" s="22" t="s">
        <v>49</v>
      </c>
      <c r="D56" s="5" t="s">
        <v>83</v>
      </c>
      <c r="E56" s="11">
        <v>0.5</v>
      </c>
      <c r="F56" s="11">
        <v>0.5</v>
      </c>
      <c r="G56" s="11" t="s">
        <v>136</v>
      </c>
      <c r="H56" s="12"/>
      <c r="I56" s="13"/>
      <c r="J56" s="13"/>
      <c r="K56" s="13"/>
      <c r="L56" s="13"/>
      <c r="M56" s="13"/>
      <c r="N56" s="13" t="s">
        <v>8</v>
      </c>
      <c r="O56" s="5"/>
    </row>
    <row r="57" spans="1:15" ht="75" customHeight="1" x14ac:dyDescent="0.25">
      <c r="A57" s="49"/>
      <c r="B57" s="25" t="s">
        <v>146</v>
      </c>
      <c r="C57" s="54" t="s">
        <v>159</v>
      </c>
      <c r="D57" s="54"/>
      <c r="E57" s="54"/>
      <c r="F57" s="54"/>
      <c r="G57" s="54"/>
      <c r="H57" s="54"/>
      <c r="I57" s="54"/>
      <c r="J57" s="54"/>
      <c r="K57" s="54"/>
      <c r="L57" s="54"/>
      <c r="M57" s="54"/>
      <c r="N57" s="54"/>
      <c r="O57" s="54"/>
    </row>
    <row r="58" spans="1:15" ht="45" x14ac:dyDescent="0.25">
      <c r="A58" s="48" t="s">
        <v>50</v>
      </c>
      <c r="B58" s="8"/>
      <c r="C58" s="22" t="s">
        <v>51</v>
      </c>
      <c r="D58" s="6" t="s">
        <v>84</v>
      </c>
      <c r="E58" s="7">
        <v>1</v>
      </c>
      <c r="F58" s="7">
        <v>5</v>
      </c>
      <c r="G58" s="7" t="s">
        <v>136</v>
      </c>
      <c r="H58" s="15"/>
      <c r="I58" s="16"/>
      <c r="J58" s="16"/>
      <c r="K58" s="16"/>
      <c r="L58" s="16"/>
      <c r="M58" s="16"/>
      <c r="N58" s="16" t="s">
        <v>8</v>
      </c>
      <c r="O58" s="5"/>
    </row>
    <row r="59" spans="1:15" ht="45" customHeight="1" x14ac:dyDescent="0.25">
      <c r="A59" s="49"/>
      <c r="B59" s="25" t="s">
        <v>146</v>
      </c>
      <c r="C59" s="54" t="s">
        <v>158</v>
      </c>
      <c r="D59" s="54"/>
      <c r="E59" s="54"/>
      <c r="F59" s="54"/>
      <c r="G59" s="54"/>
      <c r="H59" s="54"/>
      <c r="I59" s="54"/>
      <c r="J59" s="54"/>
      <c r="K59" s="54"/>
      <c r="L59" s="54"/>
      <c r="M59" s="54"/>
      <c r="N59" s="54"/>
      <c r="O59" s="54"/>
    </row>
    <row r="60" spans="1:15" ht="30" x14ac:dyDescent="0.25">
      <c r="A60" s="48" t="s">
        <v>52</v>
      </c>
      <c r="B60" s="8"/>
      <c r="C60" s="22" t="s">
        <v>53</v>
      </c>
      <c r="D60" s="5" t="s">
        <v>85</v>
      </c>
      <c r="E60" s="11">
        <v>1</v>
      </c>
      <c r="F60" s="11">
        <v>2</v>
      </c>
      <c r="G60" s="11" t="s">
        <v>136</v>
      </c>
      <c r="H60" s="12"/>
      <c r="I60" s="13"/>
      <c r="J60" s="13"/>
      <c r="K60" s="13"/>
      <c r="L60" s="13"/>
      <c r="M60" s="13"/>
      <c r="N60" s="13" t="s">
        <v>8</v>
      </c>
      <c r="O60" s="5"/>
    </row>
    <row r="61" spans="1:15" ht="60" customHeight="1" x14ac:dyDescent="0.25">
      <c r="A61" s="49"/>
      <c r="B61" s="25" t="s">
        <v>146</v>
      </c>
      <c r="C61" s="54" t="s">
        <v>157</v>
      </c>
      <c r="D61" s="54"/>
      <c r="E61" s="54"/>
      <c r="F61" s="54"/>
      <c r="G61" s="54"/>
      <c r="H61" s="54"/>
      <c r="I61" s="54"/>
      <c r="J61" s="54"/>
      <c r="K61" s="54"/>
      <c r="L61" s="54"/>
      <c r="M61" s="54"/>
      <c r="N61" s="54"/>
      <c r="O61" s="54"/>
    </row>
    <row r="62" spans="1:15" ht="30" x14ac:dyDescent="0.25">
      <c r="A62" s="48" t="s">
        <v>54</v>
      </c>
      <c r="B62" s="8"/>
      <c r="C62" s="22" t="s">
        <v>55</v>
      </c>
      <c r="D62" s="5" t="s">
        <v>86</v>
      </c>
      <c r="E62" s="11">
        <v>1</v>
      </c>
      <c r="F62" s="11">
        <v>1</v>
      </c>
      <c r="G62" s="11" t="s">
        <v>136</v>
      </c>
      <c r="H62" s="12"/>
      <c r="I62" s="13"/>
      <c r="J62" s="13"/>
      <c r="K62" s="13"/>
      <c r="L62" s="13"/>
      <c r="M62" s="13"/>
      <c r="N62" s="13" t="s">
        <v>8</v>
      </c>
      <c r="O62" s="5"/>
    </row>
    <row r="63" spans="1:15" ht="120" customHeight="1" x14ac:dyDescent="0.25">
      <c r="A63" s="49"/>
      <c r="B63" s="25" t="s">
        <v>146</v>
      </c>
      <c r="C63" s="54" t="s">
        <v>156</v>
      </c>
      <c r="D63" s="54"/>
      <c r="E63" s="54"/>
      <c r="F63" s="54"/>
      <c r="G63" s="54"/>
      <c r="H63" s="54"/>
      <c r="I63" s="54"/>
      <c r="J63" s="54"/>
      <c r="K63" s="54"/>
      <c r="L63" s="54"/>
      <c r="M63" s="54"/>
      <c r="N63" s="54"/>
      <c r="O63" s="54"/>
    </row>
    <row r="64" spans="1:15" ht="90" x14ac:dyDescent="0.25">
      <c r="A64" s="8" t="s">
        <v>56</v>
      </c>
      <c r="B64" s="8"/>
      <c r="C64" s="22" t="s">
        <v>57</v>
      </c>
      <c r="D64" s="5" t="s">
        <v>87</v>
      </c>
      <c r="E64" s="11">
        <v>1</v>
      </c>
      <c r="F64" s="11">
        <v>1</v>
      </c>
      <c r="G64" s="11" t="s">
        <v>136</v>
      </c>
      <c r="H64" s="12"/>
      <c r="I64" s="13"/>
      <c r="J64" s="13"/>
      <c r="K64" s="13"/>
      <c r="L64" s="13"/>
      <c r="M64" s="13"/>
      <c r="N64" s="13" t="s">
        <v>8</v>
      </c>
      <c r="O64" s="5"/>
    </row>
    <row r="65" spans="1:15" s="2" customFormat="1" x14ac:dyDescent="0.25">
      <c r="A65" s="34">
        <v>7</v>
      </c>
      <c r="B65" s="34"/>
      <c r="C65" s="35" t="s">
        <v>58</v>
      </c>
      <c r="D65" s="35"/>
      <c r="E65" s="37"/>
      <c r="F65" s="37"/>
      <c r="G65" s="37"/>
      <c r="H65" s="37"/>
      <c r="I65" s="35"/>
      <c r="J65" s="35"/>
      <c r="K65" s="35"/>
      <c r="L65" s="35"/>
      <c r="M65" s="35"/>
      <c r="N65" s="35"/>
      <c r="O65" s="35"/>
    </row>
    <row r="66" spans="1:15" ht="30" x14ac:dyDescent="0.25">
      <c r="A66" s="8" t="s">
        <v>114</v>
      </c>
      <c r="B66" s="8"/>
      <c r="C66" s="22" t="s">
        <v>152</v>
      </c>
      <c r="D66" s="5" t="s">
        <v>76</v>
      </c>
      <c r="E66" s="46">
        <v>0</v>
      </c>
      <c r="F66" s="46">
        <v>0</v>
      </c>
      <c r="G66" s="11" t="s">
        <v>136</v>
      </c>
      <c r="H66" s="12"/>
      <c r="I66" s="13"/>
      <c r="J66" s="13"/>
      <c r="K66" s="13"/>
      <c r="L66" s="13"/>
      <c r="M66" s="13"/>
      <c r="N66" s="13" t="s">
        <v>8</v>
      </c>
      <c r="O66" s="5"/>
    </row>
    <row r="67" spans="1:15" ht="45" x14ac:dyDescent="0.25">
      <c r="A67" s="48" t="s">
        <v>115</v>
      </c>
      <c r="B67" s="8"/>
      <c r="C67" s="22" t="s">
        <v>154</v>
      </c>
      <c r="D67" s="5" t="s">
        <v>88</v>
      </c>
      <c r="E67" s="11">
        <v>5</v>
      </c>
      <c r="F67" s="11">
        <v>10</v>
      </c>
      <c r="G67" s="11"/>
      <c r="H67" s="12"/>
      <c r="I67" s="13" t="s">
        <v>8</v>
      </c>
      <c r="J67" s="13" t="s">
        <v>8</v>
      </c>
      <c r="K67" s="13"/>
      <c r="L67" s="13"/>
      <c r="M67" s="13"/>
      <c r="N67" s="13" t="s">
        <v>8</v>
      </c>
      <c r="O67" s="5"/>
    </row>
    <row r="68" spans="1:15" ht="30" x14ac:dyDescent="0.25">
      <c r="A68" s="49"/>
      <c r="B68" s="25" t="s">
        <v>146</v>
      </c>
      <c r="C68" s="54" t="s">
        <v>155</v>
      </c>
      <c r="D68" s="54"/>
      <c r="E68" s="54"/>
      <c r="F68" s="54"/>
      <c r="G68" s="54"/>
      <c r="H68" s="54"/>
      <c r="I68" s="54"/>
      <c r="J68" s="54"/>
      <c r="K68" s="54"/>
      <c r="L68" s="54"/>
      <c r="M68" s="54"/>
      <c r="N68" s="54"/>
      <c r="O68" s="54"/>
    </row>
    <row r="69" spans="1:15" ht="45" x14ac:dyDescent="0.25">
      <c r="A69" s="8" t="s">
        <v>116</v>
      </c>
      <c r="B69" s="8"/>
      <c r="C69" s="22" t="s">
        <v>59</v>
      </c>
      <c r="D69" s="55" t="s">
        <v>89</v>
      </c>
      <c r="E69" s="50">
        <v>0.5</v>
      </c>
      <c r="F69" s="50">
        <v>0.5</v>
      </c>
      <c r="G69" s="11"/>
      <c r="H69" s="12"/>
      <c r="I69" s="13"/>
      <c r="J69" s="13" t="s">
        <v>8</v>
      </c>
      <c r="K69" s="13"/>
      <c r="L69" s="13"/>
      <c r="M69" s="13"/>
      <c r="N69" s="13" t="s">
        <v>8</v>
      </c>
      <c r="O69" s="5"/>
    </row>
    <row r="70" spans="1:15" ht="30" x14ac:dyDescent="0.25">
      <c r="A70" s="8" t="s">
        <v>117</v>
      </c>
      <c r="B70" s="8"/>
      <c r="C70" s="22" t="s">
        <v>60</v>
      </c>
      <c r="D70" s="55"/>
      <c r="E70" s="50"/>
      <c r="F70" s="50"/>
      <c r="G70" s="11"/>
      <c r="H70" s="12"/>
      <c r="I70" s="13"/>
      <c r="J70" s="13" t="s">
        <v>8</v>
      </c>
      <c r="K70" s="13"/>
      <c r="L70" s="13"/>
      <c r="M70" s="13"/>
      <c r="N70" s="13" t="s">
        <v>8</v>
      </c>
      <c r="O70" s="5"/>
    </row>
    <row r="71" spans="1:15" s="2" customFormat="1" x14ac:dyDescent="0.25">
      <c r="A71" s="34">
        <v>8</v>
      </c>
      <c r="B71" s="34"/>
      <c r="C71" s="35" t="s">
        <v>61</v>
      </c>
      <c r="D71" s="35"/>
      <c r="E71" s="37"/>
      <c r="F71" s="37"/>
      <c r="G71" s="37"/>
      <c r="H71" s="37"/>
      <c r="I71" s="35"/>
      <c r="J71" s="35"/>
      <c r="K71" s="35"/>
      <c r="L71" s="35"/>
      <c r="M71" s="35"/>
      <c r="N71" s="35"/>
      <c r="O71" s="35"/>
    </row>
    <row r="72" spans="1:15" ht="30" x14ac:dyDescent="0.25">
      <c r="A72" s="8" t="s">
        <v>118</v>
      </c>
      <c r="B72" s="8"/>
      <c r="C72" s="22" t="s">
        <v>62</v>
      </c>
      <c r="D72" s="5" t="s">
        <v>90</v>
      </c>
      <c r="E72" s="47"/>
      <c r="F72" s="47"/>
      <c r="G72" s="11"/>
      <c r="H72" s="12"/>
      <c r="I72" s="13"/>
      <c r="J72" s="13"/>
      <c r="K72" s="13"/>
      <c r="L72" s="13"/>
      <c r="M72" s="13"/>
      <c r="N72" s="13"/>
      <c r="O72" s="5"/>
    </row>
    <row r="73" spans="1:15" s="2" customFormat="1" x14ac:dyDescent="0.25">
      <c r="A73" s="34">
        <v>9</v>
      </c>
      <c r="B73" s="34"/>
      <c r="C73" s="35" t="s">
        <v>63</v>
      </c>
      <c r="D73" s="35"/>
      <c r="E73" s="37"/>
      <c r="F73" s="37"/>
      <c r="G73" s="37"/>
      <c r="H73" s="37"/>
      <c r="I73" s="35"/>
      <c r="J73" s="35"/>
      <c r="K73" s="35"/>
      <c r="L73" s="35"/>
      <c r="M73" s="35"/>
      <c r="N73" s="35"/>
      <c r="O73" s="35"/>
    </row>
    <row r="74" spans="1:15" ht="45" x14ac:dyDescent="0.25">
      <c r="A74" s="48" t="s">
        <v>119</v>
      </c>
      <c r="B74" s="8"/>
      <c r="C74" s="22" t="s">
        <v>64</v>
      </c>
      <c r="D74" s="5" t="s">
        <v>77</v>
      </c>
      <c r="E74" s="11">
        <v>0.5</v>
      </c>
      <c r="F74" s="11">
        <v>0.5</v>
      </c>
      <c r="G74" s="11" t="s">
        <v>136</v>
      </c>
      <c r="H74" s="12"/>
      <c r="I74" s="13"/>
      <c r="J74" s="13"/>
      <c r="K74" s="13"/>
      <c r="L74" s="13"/>
      <c r="M74" s="13"/>
      <c r="N74" s="13" t="s">
        <v>8</v>
      </c>
      <c r="O74" s="5"/>
    </row>
    <row r="75" spans="1:15" ht="30" x14ac:dyDescent="0.25">
      <c r="A75" s="49"/>
      <c r="B75" s="25" t="s">
        <v>146</v>
      </c>
      <c r="C75" s="54" t="s">
        <v>153</v>
      </c>
      <c r="D75" s="54"/>
      <c r="E75" s="54"/>
      <c r="F75" s="54"/>
      <c r="G75" s="54"/>
      <c r="H75" s="54"/>
      <c r="I75" s="54"/>
      <c r="J75" s="54"/>
      <c r="K75" s="54"/>
      <c r="L75" s="54"/>
      <c r="M75" s="54"/>
      <c r="N75" s="54"/>
      <c r="O75" s="54"/>
    </row>
    <row r="76" spans="1:15" ht="30" x14ac:dyDescent="0.25">
      <c r="A76" s="8" t="s">
        <v>120</v>
      </c>
      <c r="B76" s="8"/>
      <c r="C76" s="22" t="s">
        <v>152</v>
      </c>
      <c r="D76" s="5" t="s">
        <v>77</v>
      </c>
      <c r="E76" s="46">
        <v>0</v>
      </c>
      <c r="F76" s="46">
        <v>0</v>
      </c>
      <c r="G76" s="11" t="s">
        <v>136</v>
      </c>
      <c r="H76" s="12"/>
      <c r="I76" s="13"/>
      <c r="J76" s="13"/>
      <c r="K76" s="13"/>
      <c r="L76" s="13"/>
      <c r="M76" s="13"/>
      <c r="N76" s="13" t="s">
        <v>8</v>
      </c>
      <c r="O76" s="5"/>
    </row>
    <row r="77" spans="1:15" ht="45" x14ac:dyDescent="0.25">
      <c r="A77" s="48" t="s">
        <v>121</v>
      </c>
      <c r="B77" s="8"/>
      <c r="C77" s="22" t="s">
        <v>65</v>
      </c>
      <c r="D77" s="5"/>
      <c r="E77" s="11">
        <v>10</v>
      </c>
      <c r="F77" s="11">
        <v>30</v>
      </c>
      <c r="G77" s="11" t="s">
        <v>136</v>
      </c>
      <c r="H77" s="12"/>
      <c r="I77" s="13"/>
      <c r="J77" s="13"/>
      <c r="K77" s="13"/>
      <c r="L77" s="13"/>
      <c r="M77" s="13"/>
      <c r="N77" s="13" t="s">
        <v>8</v>
      </c>
      <c r="O77" s="5"/>
    </row>
    <row r="78" spans="1:15" ht="30" x14ac:dyDescent="0.25">
      <c r="A78" s="51"/>
      <c r="B78" s="25" t="s">
        <v>146</v>
      </c>
      <c r="C78" s="54" t="s">
        <v>151</v>
      </c>
      <c r="D78" s="54"/>
      <c r="E78" s="54"/>
      <c r="F78" s="54"/>
      <c r="G78" s="54"/>
      <c r="H78" s="54"/>
      <c r="I78" s="54"/>
      <c r="J78" s="54"/>
      <c r="K78" s="54"/>
      <c r="L78" s="54"/>
      <c r="M78" s="54"/>
      <c r="N78" s="54"/>
      <c r="O78" s="54"/>
    </row>
    <row r="79" spans="1:15" customFormat="1" ht="30" customHeight="1" x14ac:dyDescent="0.25">
      <c r="A79" s="49"/>
      <c r="B79" s="29" t="s">
        <v>177</v>
      </c>
      <c r="C79" s="52" t="s">
        <v>178</v>
      </c>
      <c r="D79" s="52"/>
      <c r="E79" s="52"/>
      <c r="F79" s="52"/>
      <c r="G79" s="52"/>
      <c r="H79" s="52"/>
      <c r="I79" s="52"/>
      <c r="J79" s="52"/>
      <c r="K79" s="52"/>
      <c r="L79" s="52"/>
      <c r="M79" s="52"/>
      <c r="N79" s="52"/>
      <c r="O79" s="52"/>
    </row>
    <row r="80" spans="1:15" ht="45" x14ac:dyDescent="0.25">
      <c r="A80" s="48" t="s">
        <v>122</v>
      </c>
      <c r="B80" s="8"/>
      <c r="C80" s="22" t="s">
        <v>66</v>
      </c>
      <c r="D80" s="5"/>
      <c r="E80" s="11">
        <v>0.5</v>
      </c>
      <c r="F80" s="11">
        <v>1</v>
      </c>
      <c r="G80" s="11" t="s">
        <v>136</v>
      </c>
      <c r="H80" s="12"/>
      <c r="I80" s="13"/>
      <c r="J80" s="13"/>
      <c r="K80" s="13"/>
      <c r="L80" s="13"/>
      <c r="M80" s="13"/>
      <c r="N80" s="13" t="s">
        <v>8</v>
      </c>
      <c r="O80" s="5"/>
    </row>
    <row r="81" spans="1:15" ht="30" x14ac:dyDescent="0.25">
      <c r="A81" s="51"/>
      <c r="B81" s="25" t="s">
        <v>146</v>
      </c>
      <c r="C81" s="54" t="s">
        <v>150</v>
      </c>
      <c r="D81" s="54"/>
      <c r="E81" s="54"/>
      <c r="F81" s="54"/>
      <c r="G81" s="54"/>
      <c r="H81" s="54"/>
      <c r="I81" s="54"/>
      <c r="J81" s="54"/>
      <c r="K81" s="54"/>
      <c r="L81" s="54"/>
      <c r="M81" s="54"/>
      <c r="N81" s="54"/>
      <c r="O81" s="54"/>
    </row>
    <row r="82" spans="1:15" customFormat="1" x14ac:dyDescent="0.25">
      <c r="A82" s="49"/>
      <c r="B82" s="29" t="s">
        <v>177</v>
      </c>
      <c r="C82" s="52" t="s">
        <v>179</v>
      </c>
      <c r="D82" s="52"/>
      <c r="E82" s="52"/>
      <c r="F82" s="52"/>
      <c r="G82" s="52"/>
      <c r="H82" s="52"/>
      <c r="I82" s="52"/>
      <c r="J82" s="52"/>
      <c r="K82" s="52"/>
      <c r="L82" s="52"/>
      <c r="M82" s="52"/>
      <c r="N82" s="52"/>
      <c r="O82" s="52"/>
    </row>
    <row r="83" spans="1:15" s="2" customFormat="1" x14ac:dyDescent="0.25">
      <c r="A83" s="34">
        <v>10</v>
      </c>
      <c r="B83" s="34"/>
      <c r="C83" s="35" t="s">
        <v>67</v>
      </c>
      <c r="D83" s="35"/>
      <c r="E83" s="37"/>
      <c r="F83" s="37"/>
      <c r="G83" s="37"/>
      <c r="H83" s="37"/>
      <c r="I83" s="35"/>
      <c r="J83" s="35"/>
      <c r="K83" s="35"/>
      <c r="L83" s="35"/>
      <c r="M83" s="35"/>
      <c r="N83" s="35"/>
      <c r="O83" s="35"/>
    </row>
    <row r="84" spans="1:15" x14ac:dyDescent="0.25">
      <c r="A84" s="48" t="s">
        <v>123</v>
      </c>
      <c r="B84" s="8"/>
      <c r="C84" s="22" t="s">
        <v>68</v>
      </c>
      <c r="D84" s="5" t="s">
        <v>93</v>
      </c>
      <c r="E84" s="11">
        <v>1</v>
      </c>
      <c r="F84" s="11">
        <v>1</v>
      </c>
      <c r="G84" s="11" t="s">
        <v>136</v>
      </c>
      <c r="H84" s="12"/>
      <c r="I84" s="13"/>
      <c r="J84" s="13"/>
      <c r="K84" s="13"/>
      <c r="L84" s="13"/>
      <c r="M84" s="13"/>
      <c r="N84" s="13" t="s">
        <v>8</v>
      </c>
      <c r="O84" s="5"/>
    </row>
    <row r="85" spans="1:15" ht="30" x14ac:dyDescent="0.25">
      <c r="A85" s="49"/>
      <c r="B85" s="25" t="s">
        <v>146</v>
      </c>
      <c r="C85" s="54" t="s">
        <v>149</v>
      </c>
      <c r="D85" s="54"/>
      <c r="E85" s="54"/>
      <c r="F85" s="54"/>
      <c r="G85" s="54"/>
      <c r="H85" s="54"/>
      <c r="I85" s="54"/>
      <c r="J85" s="54"/>
      <c r="K85" s="54"/>
      <c r="L85" s="54"/>
      <c r="M85" s="54"/>
      <c r="N85" s="54"/>
      <c r="O85" s="54"/>
    </row>
    <row r="86" spans="1:15" ht="45" x14ac:dyDescent="0.25">
      <c r="A86" s="8" t="s">
        <v>124</v>
      </c>
      <c r="B86" s="8"/>
      <c r="C86" s="22" t="s">
        <v>148</v>
      </c>
      <c r="D86" s="5"/>
      <c r="E86" s="11">
        <v>1</v>
      </c>
      <c r="F86" s="11">
        <v>1</v>
      </c>
      <c r="G86" s="11" t="s">
        <v>136</v>
      </c>
      <c r="H86" s="12"/>
      <c r="I86" s="13"/>
      <c r="J86" s="13"/>
      <c r="K86" s="13"/>
      <c r="L86" s="13"/>
      <c r="M86" s="13"/>
      <c r="N86" s="13" t="s">
        <v>8</v>
      </c>
      <c r="O86" s="5"/>
    </row>
    <row r="87" spans="1:15" ht="45" x14ac:dyDescent="0.25">
      <c r="A87" s="48" t="s">
        <v>125</v>
      </c>
      <c r="B87" s="8"/>
      <c r="C87" s="22" t="s">
        <v>69</v>
      </c>
      <c r="D87" s="5"/>
      <c r="E87" s="11">
        <v>1</v>
      </c>
      <c r="F87" s="11">
        <v>1</v>
      </c>
      <c r="G87" s="11" t="s">
        <v>136</v>
      </c>
      <c r="H87" s="12"/>
      <c r="I87" s="13"/>
      <c r="J87" s="13"/>
      <c r="K87" s="13"/>
      <c r="L87" s="13"/>
      <c r="M87" s="13"/>
      <c r="N87" s="13" t="s">
        <v>8</v>
      </c>
      <c r="O87" s="5"/>
    </row>
    <row r="88" spans="1:15" customFormat="1" ht="30" customHeight="1" x14ac:dyDescent="0.25">
      <c r="A88" s="49"/>
      <c r="B88" s="29" t="s">
        <v>177</v>
      </c>
      <c r="C88" s="52" t="s">
        <v>184</v>
      </c>
      <c r="D88" s="52"/>
      <c r="E88" s="52"/>
      <c r="F88" s="52"/>
      <c r="G88" s="52"/>
      <c r="H88" s="52"/>
      <c r="I88" s="52"/>
      <c r="J88" s="52"/>
      <c r="K88" s="52"/>
      <c r="L88" s="52"/>
      <c r="M88" s="52"/>
      <c r="N88" s="52"/>
      <c r="O88" s="52"/>
    </row>
    <row r="89" spans="1:15" s="2" customFormat="1" x14ac:dyDescent="0.25">
      <c r="A89" s="34">
        <v>11</v>
      </c>
      <c r="B89" s="34"/>
      <c r="C89" s="35" t="s">
        <v>70</v>
      </c>
      <c r="D89" s="35"/>
      <c r="E89" s="37"/>
      <c r="F89" s="37"/>
      <c r="G89" s="37"/>
      <c r="H89" s="37"/>
      <c r="I89" s="35"/>
      <c r="J89" s="35"/>
      <c r="K89" s="35"/>
      <c r="L89" s="35"/>
      <c r="M89" s="35"/>
      <c r="N89" s="35"/>
      <c r="O89" s="35"/>
    </row>
    <row r="90" spans="1:15" ht="90" x14ac:dyDescent="0.25">
      <c r="A90" s="48" t="s">
        <v>126</v>
      </c>
      <c r="B90" s="8"/>
      <c r="C90" s="22" t="s">
        <v>71</v>
      </c>
      <c r="D90" s="5" t="s">
        <v>144</v>
      </c>
      <c r="E90" s="11">
        <v>5</v>
      </c>
      <c r="F90" s="11">
        <v>25</v>
      </c>
      <c r="G90" s="11" t="s">
        <v>136</v>
      </c>
      <c r="H90" s="12"/>
      <c r="I90" s="13"/>
      <c r="J90" s="13"/>
      <c r="K90" s="13"/>
      <c r="L90" s="13"/>
      <c r="M90" s="13"/>
      <c r="N90" s="13" t="s">
        <v>8</v>
      </c>
      <c r="O90" s="5"/>
    </row>
    <row r="91" spans="1:15" ht="30" x14ac:dyDescent="0.25">
      <c r="A91" s="49"/>
      <c r="B91" s="25" t="s">
        <v>146</v>
      </c>
      <c r="C91" s="54" t="s">
        <v>147</v>
      </c>
      <c r="D91" s="54"/>
      <c r="E91" s="54"/>
      <c r="F91" s="54"/>
      <c r="G91" s="54"/>
      <c r="H91" s="54"/>
      <c r="I91" s="54"/>
      <c r="J91" s="54"/>
      <c r="K91" s="54"/>
      <c r="L91" s="54"/>
      <c r="M91" s="54"/>
      <c r="N91" s="54"/>
      <c r="O91" s="54"/>
    </row>
    <row r="92" spans="1:15" ht="60" x14ac:dyDescent="0.25">
      <c r="A92" s="48" t="s">
        <v>127</v>
      </c>
      <c r="B92" s="8"/>
      <c r="C92" s="22" t="s">
        <v>72</v>
      </c>
      <c r="D92" s="5" t="s">
        <v>91</v>
      </c>
      <c r="E92" s="47"/>
      <c r="F92" s="47"/>
      <c r="G92" s="11" t="s">
        <v>136</v>
      </c>
      <c r="H92" s="12"/>
      <c r="I92" s="13"/>
      <c r="J92" s="13"/>
      <c r="K92" s="13"/>
      <c r="L92" s="13"/>
      <c r="M92" s="13"/>
      <c r="N92" s="13" t="s">
        <v>8</v>
      </c>
      <c r="O92" s="5"/>
    </row>
    <row r="93" spans="1:15" customFormat="1" ht="45" customHeight="1" x14ac:dyDescent="0.25">
      <c r="A93" s="49"/>
      <c r="B93" s="29" t="s">
        <v>177</v>
      </c>
      <c r="C93" s="52" t="s">
        <v>185</v>
      </c>
      <c r="D93" s="52"/>
      <c r="E93" s="52"/>
      <c r="F93" s="52"/>
      <c r="G93" s="52"/>
      <c r="H93" s="52"/>
      <c r="I93" s="52"/>
      <c r="J93" s="52"/>
      <c r="K93" s="52"/>
      <c r="L93" s="52"/>
      <c r="M93" s="52"/>
      <c r="N93" s="52"/>
      <c r="O93" s="52"/>
    </row>
    <row r="94" spans="1:15" ht="60" x14ac:dyDescent="0.25">
      <c r="A94" s="48" t="s">
        <v>128</v>
      </c>
      <c r="B94" s="8"/>
      <c r="C94" s="22" t="s">
        <v>73</v>
      </c>
      <c r="D94" s="5" t="s">
        <v>92</v>
      </c>
      <c r="E94" s="11"/>
      <c r="F94" s="11"/>
      <c r="G94" s="11"/>
      <c r="H94" s="12"/>
      <c r="I94" s="13"/>
      <c r="J94" s="13"/>
      <c r="K94" s="13"/>
      <c r="L94" s="13"/>
      <c r="M94" s="13"/>
      <c r="N94" s="13"/>
      <c r="O94" s="5"/>
    </row>
    <row r="95" spans="1:15" customFormat="1" ht="45" customHeight="1" x14ac:dyDescent="0.25">
      <c r="A95" s="49"/>
      <c r="B95" s="29" t="s">
        <v>177</v>
      </c>
      <c r="C95" s="52" t="s">
        <v>186</v>
      </c>
      <c r="D95" s="52"/>
      <c r="E95" s="52"/>
      <c r="F95" s="52"/>
      <c r="G95" s="52"/>
      <c r="H95" s="52"/>
      <c r="I95" s="52"/>
      <c r="J95" s="52"/>
      <c r="K95" s="52"/>
      <c r="L95" s="52"/>
      <c r="M95" s="52"/>
      <c r="N95" s="52"/>
      <c r="O95" s="52"/>
    </row>
  </sheetData>
  <mergeCells count="72">
    <mergeCell ref="D5:D6"/>
    <mergeCell ref="D69:D70"/>
    <mergeCell ref="D51:D53"/>
    <mergeCell ref="C8:O8"/>
    <mergeCell ref="C12:O12"/>
    <mergeCell ref="C68:O68"/>
    <mergeCell ref="C63:O63"/>
    <mergeCell ref="C61:O61"/>
    <mergeCell ref="C59:O59"/>
    <mergeCell ref="C91:O91"/>
    <mergeCell ref="C85:O85"/>
    <mergeCell ref="C81:O81"/>
    <mergeCell ref="C78:O78"/>
    <mergeCell ref="C75:O75"/>
    <mergeCell ref="C79:O79"/>
    <mergeCell ref="C82:O82"/>
    <mergeCell ref="C88:O88"/>
    <mergeCell ref="C57:O57"/>
    <mergeCell ref="C47:O47"/>
    <mergeCell ref="C45:O45"/>
    <mergeCell ref="C43:O43"/>
    <mergeCell ref="C40:O40"/>
    <mergeCell ref="C48:O48"/>
    <mergeCell ref="C38:O38"/>
    <mergeCell ref="C35:O35"/>
    <mergeCell ref="C14:O14"/>
    <mergeCell ref="C17:O17"/>
    <mergeCell ref="C19:O19"/>
    <mergeCell ref="C21:O21"/>
    <mergeCell ref="C23:O23"/>
    <mergeCell ref="C25:O25"/>
    <mergeCell ref="C28:O28"/>
    <mergeCell ref="C31:N31"/>
    <mergeCell ref="C33:N33"/>
    <mergeCell ref="C93:O93"/>
    <mergeCell ref="C95:O95"/>
    <mergeCell ref="A11:A12"/>
    <mergeCell ref="A3:B3"/>
    <mergeCell ref="A13:A14"/>
    <mergeCell ref="A16:A17"/>
    <mergeCell ref="A18:A19"/>
    <mergeCell ref="A20:A21"/>
    <mergeCell ref="A22:A23"/>
    <mergeCell ref="A24:A25"/>
    <mergeCell ref="A27:A28"/>
    <mergeCell ref="A30:A31"/>
    <mergeCell ref="A32:A33"/>
    <mergeCell ref="A34:A35"/>
    <mergeCell ref="A37:A38"/>
    <mergeCell ref="A39:A40"/>
    <mergeCell ref="A77:A79"/>
    <mergeCell ref="A42:A43"/>
    <mergeCell ref="A44:A45"/>
    <mergeCell ref="A46:A48"/>
    <mergeCell ref="A56:A57"/>
    <mergeCell ref="A58:A59"/>
    <mergeCell ref="A94:A95"/>
    <mergeCell ref="E5:E6"/>
    <mergeCell ref="F5:F6"/>
    <mergeCell ref="E51:E53"/>
    <mergeCell ref="F51:F53"/>
    <mergeCell ref="E69:E70"/>
    <mergeCell ref="F69:F70"/>
    <mergeCell ref="A80:A82"/>
    <mergeCell ref="A84:A85"/>
    <mergeCell ref="A90:A91"/>
    <mergeCell ref="A87:A88"/>
    <mergeCell ref="A92:A93"/>
    <mergeCell ref="A60:A61"/>
    <mergeCell ref="A62:A63"/>
    <mergeCell ref="A67:A68"/>
    <mergeCell ref="A74:A75"/>
  </mergeCells>
  <pageMargins left="0" right="0" top="0" bottom="0" header="0.31496062992125984" footer="0.31496062992125984"/>
  <pageSetup paperSize="9" scale="95" orientation="landscape" r:id="rId1"/>
  <rowBreaks count="6" manualBreakCount="6">
    <brk id="19" max="16383" man="1"/>
    <brk id="35" max="16383" man="1"/>
    <brk id="48" max="16383" man="1"/>
    <brk id="61" max="16383" man="1"/>
    <brk id="72" max="16383" man="1"/>
    <brk id="88"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42578125"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1"/>
  <sheetViews>
    <sheetView workbookViewId="0">
      <selection activeCell="A46" sqref="A1:A46"/>
    </sheetView>
  </sheetViews>
  <sheetFormatPr defaultColWidth="11.42578125" defaultRowHeight="15" x14ac:dyDescent="0.25"/>
  <cols>
    <col min="1" max="1" width="7.7109375" style="3" bestFit="1" customWidth="1"/>
  </cols>
  <sheetData>
    <row r="1" spans="1:1" x14ac:dyDescent="0.25">
      <c r="A1" s="8" t="s">
        <v>9</v>
      </c>
    </row>
    <row r="2" spans="1:1" x14ac:dyDescent="0.25">
      <c r="A2" s="8" t="s">
        <v>13</v>
      </c>
    </row>
    <row r="3" spans="1:1" x14ac:dyDescent="0.25">
      <c r="A3" s="8" t="s">
        <v>14</v>
      </c>
    </row>
    <row r="4" spans="1:1" x14ac:dyDescent="0.25">
      <c r="A4" s="6" t="s">
        <v>133</v>
      </c>
    </row>
    <row r="5" spans="1:1" x14ac:dyDescent="0.25">
      <c r="A5" s="6" t="s">
        <v>134</v>
      </c>
    </row>
    <row r="6" spans="1:1" x14ac:dyDescent="0.25">
      <c r="A6" s="8" t="s">
        <v>95</v>
      </c>
    </row>
    <row r="7" spans="1:1" x14ac:dyDescent="0.25">
      <c r="A7" s="8" t="s">
        <v>96</v>
      </c>
    </row>
    <row r="8" spans="1:1" x14ac:dyDescent="0.25">
      <c r="A8" s="8" t="s">
        <v>97</v>
      </c>
    </row>
    <row r="9" spans="1:1" x14ac:dyDescent="0.25">
      <c r="A9" s="8" t="s">
        <v>98</v>
      </c>
    </row>
    <row r="10" spans="1:1" x14ac:dyDescent="0.25">
      <c r="A10" s="8" t="s">
        <v>99</v>
      </c>
    </row>
    <row r="11" spans="1:1" x14ac:dyDescent="0.25">
      <c r="A11" s="8" t="s">
        <v>100</v>
      </c>
    </row>
    <row r="12" spans="1:1" x14ac:dyDescent="0.25">
      <c r="A12" s="8" t="s">
        <v>101</v>
      </c>
    </row>
    <row r="13" spans="1:1" x14ac:dyDescent="0.25">
      <c r="A13" s="8" t="s">
        <v>102</v>
      </c>
    </row>
    <row r="14" spans="1:1" x14ac:dyDescent="0.25">
      <c r="A14" s="8" t="s">
        <v>103</v>
      </c>
    </row>
    <row r="15" spans="1:1" x14ac:dyDescent="0.25">
      <c r="A15" s="8" t="s">
        <v>104</v>
      </c>
    </row>
    <row r="16" spans="1:1" x14ac:dyDescent="0.25">
      <c r="A16" s="8" t="s">
        <v>105</v>
      </c>
    </row>
    <row r="17" spans="1:1" x14ac:dyDescent="0.25">
      <c r="A17" s="8" t="s">
        <v>106</v>
      </c>
    </row>
    <row r="18" spans="1:1" x14ac:dyDescent="0.25">
      <c r="A18" s="8" t="s">
        <v>107</v>
      </c>
    </row>
    <row r="19" spans="1:1" x14ac:dyDescent="0.25">
      <c r="A19" s="8" t="s">
        <v>108</v>
      </c>
    </row>
    <row r="20" spans="1:1" x14ac:dyDescent="0.25">
      <c r="A20" s="8" t="s">
        <v>109</v>
      </c>
    </row>
    <row r="21" spans="1:1" x14ac:dyDescent="0.25">
      <c r="A21" s="8" t="s">
        <v>110</v>
      </c>
    </row>
    <row r="22" spans="1:1" x14ac:dyDescent="0.25">
      <c r="A22" s="8" t="s">
        <v>111</v>
      </c>
    </row>
    <row r="23" spans="1:1" x14ac:dyDescent="0.25">
      <c r="A23" s="8" t="s">
        <v>30</v>
      </c>
    </row>
    <row r="24" spans="1:1" x14ac:dyDescent="0.25">
      <c r="A24" s="8" t="s">
        <v>41</v>
      </c>
    </row>
    <row r="25" spans="1:1" x14ac:dyDescent="0.25">
      <c r="A25" s="8" t="s">
        <v>43</v>
      </c>
    </row>
    <row r="26" spans="1:1" x14ac:dyDescent="0.25">
      <c r="A26" s="8" t="s">
        <v>46</v>
      </c>
    </row>
    <row r="27" spans="1:1" x14ac:dyDescent="0.25">
      <c r="A27" s="8" t="s">
        <v>48</v>
      </c>
    </row>
    <row r="28" spans="1:1" x14ac:dyDescent="0.25">
      <c r="A28" s="8" t="s">
        <v>50</v>
      </c>
    </row>
    <row r="29" spans="1:1" x14ac:dyDescent="0.25">
      <c r="A29" s="8" t="s">
        <v>52</v>
      </c>
    </row>
    <row r="30" spans="1:1" x14ac:dyDescent="0.25">
      <c r="A30" s="8" t="s">
        <v>54</v>
      </c>
    </row>
    <row r="31" spans="1:1" x14ac:dyDescent="0.25">
      <c r="A31" s="8" t="s">
        <v>56</v>
      </c>
    </row>
    <row r="32" spans="1:1" x14ac:dyDescent="0.25">
      <c r="A32" s="8" t="s">
        <v>114</v>
      </c>
    </row>
    <row r="33" spans="1:1" x14ac:dyDescent="0.25">
      <c r="A33" s="8" t="s">
        <v>115</v>
      </c>
    </row>
    <row r="34" spans="1:1" x14ac:dyDescent="0.25">
      <c r="A34" s="8" t="s">
        <v>116</v>
      </c>
    </row>
    <row r="35" spans="1:1" x14ac:dyDescent="0.25">
      <c r="A35" s="8" t="s">
        <v>117</v>
      </c>
    </row>
    <row r="36" spans="1:1" x14ac:dyDescent="0.25">
      <c r="A36" s="8" t="s">
        <v>118</v>
      </c>
    </row>
    <row r="37" spans="1:1" x14ac:dyDescent="0.25">
      <c r="A37" s="8" t="s">
        <v>119</v>
      </c>
    </row>
    <row r="38" spans="1:1" x14ac:dyDescent="0.25">
      <c r="A38" s="8" t="s">
        <v>120</v>
      </c>
    </row>
    <row r="39" spans="1:1" x14ac:dyDescent="0.25">
      <c r="A39" s="8" t="s">
        <v>121</v>
      </c>
    </row>
    <row r="40" spans="1:1" x14ac:dyDescent="0.25">
      <c r="A40" s="8" t="s">
        <v>122</v>
      </c>
    </row>
    <row r="41" spans="1:1" x14ac:dyDescent="0.25">
      <c r="A41" s="8" t="s">
        <v>123</v>
      </c>
    </row>
    <row r="42" spans="1:1" x14ac:dyDescent="0.25">
      <c r="A42" s="8" t="s">
        <v>124</v>
      </c>
    </row>
    <row r="43" spans="1:1" x14ac:dyDescent="0.25">
      <c r="A43" s="8" t="s">
        <v>125</v>
      </c>
    </row>
    <row r="44" spans="1:1" x14ac:dyDescent="0.25">
      <c r="A44" s="8" t="s">
        <v>126</v>
      </c>
    </row>
    <row r="45" spans="1:1" x14ac:dyDescent="0.25">
      <c r="A45" s="8" t="s">
        <v>127</v>
      </c>
    </row>
    <row r="46" spans="1:1" x14ac:dyDescent="0.25">
      <c r="A46" s="8" t="s">
        <v>128</v>
      </c>
    </row>
    <row r="57" spans="1:1" x14ac:dyDescent="0.25">
      <c r="A57" s="17"/>
    </row>
    <row r="58" spans="1:1" x14ac:dyDescent="0.25">
      <c r="A58" s="17"/>
    </row>
    <row r="59" spans="1:1" x14ac:dyDescent="0.25">
      <c r="A59" s="17"/>
    </row>
    <row r="60" spans="1:1" x14ac:dyDescent="0.25">
      <c r="A60" s="17"/>
    </row>
    <row r="61" spans="1:1" x14ac:dyDescent="0.25">
      <c r="A61" s="17"/>
    </row>
    <row r="62" spans="1:1" x14ac:dyDescent="0.25">
      <c r="A62" s="17"/>
    </row>
    <row r="63" spans="1:1" x14ac:dyDescent="0.25">
      <c r="A63" s="17"/>
    </row>
    <row r="64" spans="1:1" x14ac:dyDescent="0.25">
      <c r="A64" s="17"/>
    </row>
    <row r="65" spans="1:1" x14ac:dyDescent="0.25">
      <c r="A65" s="17"/>
    </row>
    <row r="66" spans="1:1" x14ac:dyDescent="0.25">
      <c r="A66" s="17"/>
    </row>
    <row r="67" spans="1:1" x14ac:dyDescent="0.25">
      <c r="A67" s="17"/>
    </row>
    <row r="68" spans="1:1" x14ac:dyDescent="0.25">
      <c r="A68" s="17"/>
    </row>
    <row r="69" spans="1:1" x14ac:dyDescent="0.25">
      <c r="A69" s="17"/>
    </row>
    <row r="70" spans="1:1" x14ac:dyDescent="0.25">
      <c r="A70" s="17"/>
    </row>
    <row r="71" spans="1:1" x14ac:dyDescent="0.25">
      <c r="A71"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Feuil1</vt:lpstr>
      <vt:lpstr>Feuil2</vt:lpstr>
      <vt:lpstr>Feuil3</vt:lpstr>
      <vt:lpstr>Feuil1!Print_Titles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Tito</dc:creator>
  <cp:lastModifiedBy>Corinne Casagrande</cp:lastModifiedBy>
  <cp:lastPrinted>2013-09-06T08:18:56Z</cp:lastPrinted>
  <dcterms:created xsi:type="dcterms:W3CDTF">2013-07-24T12:11:35Z</dcterms:created>
  <dcterms:modified xsi:type="dcterms:W3CDTF">2013-09-06T10:52:21Z</dcterms:modified>
</cp:coreProperties>
</file>