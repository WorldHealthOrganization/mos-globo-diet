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90" yWindow="450" windowWidth="17835" windowHeight="9270"/>
  </bookViews>
  <sheets>
    <sheet name="THICKNESS" sheetId="1" r:id="rId1"/>
    <sheet name="Calculations EPIC pictures" sheetId="2" r:id="rId2"/>
    <sheet name="Calculations PANCAKE" sheetId="3" r:id="rId3"/>
    <sheet name="Calculations NL pictures" sheetId="4" r:id="rId4"/>
  </sheets>
  <calcPr calcId="145621"/>
</workbook>
</file>

<file path=xl/calcChain.xml><?xml version="1.0" encoding="utf-8"?>
<calcChain xmlns="http://schemas.openxmlformats.org/spreadsheetml/2006/main">
  <c r="J10" i="2" l="1"/>
  <c r="J11" i="2"/>
  <c r="J12" i="2"/>
  <c r="J9" i="2"/>
  <c r="D9" i="2"/>
  <c r="J16" i="2"/>
  <c r="J17" i="2"/>
  <c r="J18" i="2"/>
  <c r="J19" i="2"/>
  <c r="J15" i="2"/>
  <c r="H16" i="2"/>
  <c r="H17" i="2"/>
  <c r="H18" i="2"/>
  <c r="H19" i="2"/>
  <c r="H15" i="2"/>
  <c r="D3" i="2"/>
  <c r="D4" i="2"/>
  <c r="D5" i="2"/>
  <c r="D6" i="2"/>
  <c r="D10" i="2"/>
  <c r="D11" i="2"/>
  <c r="D12" i="2"/>
  <c r="D15" i="2"/>
  <c r="D16" i="2"/>
  <c r="D17" i="2"/>
  <c r="D18" i="2"/>
  <c r="D19" i="2"/>
  <c r="D23" i="2"/>
  <c r="D24" i="2"/>
  <c r="D25" i="2"/>
  <c r="D26" i="2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F23" i="4"/>
  <c r="G23" i="4" s="1"/>
  <c r="F22" i="4"/>
  <c r="G22" i="4" s="1"/>
  <c r="F21" i="4"/>
  <c r="G21" i="4" s="1"/>
  <c r="F20" i="4"/>
  <c r="G20" i="4" s="1"/>
  <c r="F19" i="4"/>
  <c r="G19" i="4" s="1"/>
  <c r="F18" i="4"/>
  <c r="G18" i="4" s="1"/>
  <c r="F17" i="4"/>
  <c r="G17" i="4" s="1"/>
  <c r="F16" i="4"/>
  <c r="G16" i="4" s="1"/>
  <c r="F15" i="4"/>
  <c r="G15" i="4" s="1"/>
  <c r="F14" i="4"/>
  <c r="G14" i="4" s="1"/>
  <c r="F13" i="4"/>
  <c r="G13" i="4" s="1"/>
  <c r="F12" i="4"/>
  <c r="G12" i="4" s="1"/>
  <c r="F11" i="4"/>
  <c r="G11" i="4" s="1"/>
  <c r="F10" i="4"/>
  <c r="G10" i="4" s="1"/>
  <c r="F9" i="4"/>
  <c r="G9" i="4" s="1"/>
  <c r="F8" i="4"/>
  <c r="G8" i="4" s="1"/>
  <c r="F7" i="4"/>
  <c r="G7" i="4" s="1"/>
  <c r="F6" i="4"/>
  <c r="G6" i="4" s="1"/>
  <c r="F5" i="4"/>
  <c r="G5" i="4" s="1"/>
  <c r="F4" i="4"/>
  <c r="G4" i="4" s="1"/>
  <c r="F3" i="4"/>
  <c r="G3" i="4" s="1"/>
  <c r="F2" i="4"/>
  <c r="G2" i="4" s="1"/>
  <c r="F29" i="3"/>
  <c r="G29" i="3" s="1"/>
  <c r="F28" i="3"/>
  <c r="G28" i="3" s="1"/>
  <c r="F27" i="3"/>
  <c r="G27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F4" i="3"/>
  <c r="G4" i="3" s="1"/>
  <c r="F3" i="3"/>
  <c r="G3" i="3" s="1"/>
  <c r="F2" i="3"/>
  <c r="G2" i="3" s="1"/>
</calcChain>
</file>

<file path=xl/sharedStrings.xml><?xml version="1.0" encoding="utf-8"?>
<sst xmlns="http://schemas.openxmlformats.org/spreadsheetml/2006/main" count="673" uniqueCount="249">
  <si>
    <t xml:space="preserve">58_1      </t>
  </si>
  <si>
    <t>fat, very thin</t>
  </si>
  <si>
    <t xml:space="preserve">58_2      </t>
  </si>
  <si>
    <t xml:space="preserve">fat, thin </t>
  </si>
  <si>
    <t xml:space="preserve">58_3      </t>
  </si>
  <si>
    <t>fat, medium</t>
  </si>
  <si>
    <t xml:space="preserve">58_4      </t>
  </si>
  <si>
    <t xml:space="preserve">fat, thick </t>
  </si>
  <si>
    <t xml:space="preserve">58_5      </t>
  </si>
  <si>
    <t xml:space="preserve">fat, very thick </t>
  </si>
  <si>
    <t xml:space="preserve">59_1      </t>
  </si>
  <si>
    <t>jam, syrup, very thin</t>
  </si>
  <si>
    <t xml:space="preserve">59_2      </t>
  </si>
  <si>
    <t xml:space="preserve">jam, syrup, thin </t>
  </si>
  <si>
    <t xml:space="preserve">59_3      </t>
  </si>
  <si>
    <t xml:space="preserve">jam, syrup, thick </t>
  </si>
  <si>
    <t xml:space="preserve">59_4      </t>
  </si>
  <si>
    <t xml:space="preserve">jam, syrup, very thick </t>
  </si>
  <si>
    <t xml:space="preserve">33_1      </t>
  </si>
  <si>
    <t>cheese spread, paste, very thin</t>
  </si>
  <si>
    <t>0400,0402,0500,0504,0505,0600,0601,0700,0704,0800,0803,1100,1102,1700,1701</t>
  </si>
  <si>
    <t>33_2</t>
  </si>
  <si>
    <t>cheese spread, paste, thin</t>
  </si>
  <si>
    <t>33_3</t>
  </si>
  <si>
    <t>cheese spread, paste, thick</t>
  </si>
  <si>
    <t>33_4</t>
  </si>
  <si>
    <t>cheese spread, paste, very thick</t>
  </si>
  <si>
    <t xml:space="preserve">31_1      </t>
  </si>
  <si>
    <t>slices, very thin</t>
  </si>
  <si>
    <t>0500,0505,0700,0704</t>
  </si>
  <si>
    <t>31_2</t>
  </si>
  <si>
    <t xml:space="preserve">slices, thin </t>
  </si>
  <si>
    <t>31_3</t>
  </si>
  <si>
    <t xml:space="preserve">slices, thick </t>
  </si>
  <si>
    <t>31_4</t>
  </si>
  <si>
    <t xml:space="preserve">slices, very thick </t>
  </si>
  <si>
    <t>#TH_CODE</t>
  </si>
  <si>
    <t>#TH_THICK</t>
  </si>
  <si>
    <t>#TH_COMMENT</t>
  </si>
  <si>
    <t>#TH_FDCLASS</t>
  </si>
  <si>
    <t>#TH_RCPCLASS</t>
  </si>
  <si>
    <t xml:space="preserve">704_A    </t>
  </si>
  <si>
    <t xml:space="preserve">fat, very thin                                                                                      </t>
  </si>
  <si>
    <r>
      <t>0502</t>
    </r>
    <r>
      <rPr>
        <sz val="10"/>
        <color indexed="8"/>
        <rFont val="Arial"/>
        <family val="2"/>
      </rPr>
      <t xml:space="preserve">,1000,1002,1003,1004                                                                          </t>
    </r>
  </si>
  <si>
    <t/>
  </si>
  <si>
    <t>704_B</t>
  </si>
  <si>
    <t xml:space="preserve">fat, thin                                                                                           </t>
  </si>
  <si>
    <t>704_C</t>
  </si>
  <si>
    <t xml:space="preserve">fat, medium                                                                                         </t>
  </si>
  <si>
    <t>704_D</t>
  </si>
  <si>
    <t xml:space="preserve">fat, thick                                                                                          </t>
  </si>
  <si>
    <t xml:space="preserve">708_A      </t>
  </si>
  <si>
    <t xml:space="preserve">jam, syrup, very thin                                                                               </t>
  </si>
  <si>
    <t xml:space="preserve">0400,0401,1100,1101,1103,1500,1501                                                    </t>
  </si>
  <si>
    <t>708_B</t>
  </si>
  <si>
    <t xml:space="preserve">jam, syrup, thin                                                                                    </t>
  </si>
  <si>
    <t>708_C</t>
  </si>
  <si>
    <t xml:space="preserve">jam, syrup, medium low                                                                                 </t>
  </si>
  <si>
    <t>708_D</t>
  </si>
  <si>
    <t xml:space="preserve">jam, syrup, medium high                                                                            </t>
  </si>
  <si>
    <t>708_E</t>
  </si>
  <si>
    <t xml:space="preserve">jam, syrup, thick                                                                                   </t>
  </si>
  <si>
    <t>708_F</t>
  </si>
  <si>
    <t xml:space="preserve">jam, syrup, very thick                                                                              </t>
  </si>
  <si>
    <t xml:space="preserve">709_A     </t>
  </si>
  <si>
    <t xml:space="preserve">mayonnaise salad, very thin                                                                               </t>
  </si>
  <si>
    <t xml:space="preserve">0700,0704,0706,0800,0803,1500,1501,1700,1701                                                                               </t>
  </si>
  <si>
    <t>709_B</t>
  </si>
  <si>
    <t xml:space="preserve">mayonnaise salad, thin                                                                                    </t>
  </si>
  <si>
    <t>709_C</t>
  </si>
  <si>
    <t xml:space="preserve">mayonnaise salad, medium low                                                                                 </t>
  </si>
  <si>
    <t>709_D</t>
  </si>
  <si>
    <t xml:space="preserve">mayonnaise salad, medium high                                                                      </t>
  </si>
  <si>
    <t>709_E</t>
  </si>
  <si>
    <t xml:space="preserve">mayonnaise salad, thick                                                                                   </t>
  </si>
  <si>
    <t>709_F</t>
  </si>
  <si>
    <t xml:space="preserve">mayonnaise salad, very thick                                                                              </t>
  </si>
  <si>
    <t xml:space="preserve">707_A      </t>
  </si>
  <si>
    <t xml:space="preserve">cheese spread, paste, very thin                                                                     </t>
  </si>
  <si>
    <r>
      <t>0400,0402,0500</t>
    </r>
    <r>
      <rPr>
        <sz val="10"/>
        <color indexed="10"/>
        <rFont val="Arial"/>
        <family val="2"/>
      </rPr>
      <t>,0502</t>
    </r>
    <r>
      <rPr>
        <sz val="10"/>
        <color indexed="8"/>
        <rFont val="Arial"/>
        <family val="2"/>
      </rPr>
      <t>,0504,0505,0700,0704,0706,0800,0803,1100,1102,1103,1500,1501,1502,1700,1701</t>
    </r>
  </si>
  <si>
    <t>707_B</t>
  </si>
  <si>
    <t xml:space="preserve">cheese spread, paste, thin                                                                          </t>
  </si>
  <si>
    <t>707_C</t>
  </si>
  <si>
    <t xml:space="preserve">cheese spread, paste, medium low                                                                      </t>
  </si>
  <si>
    <t>707_D</t>
  </si>
  <si>
    <t xml:space="preserve">cheese spread, paste, medium high                                                             </t>
  </si>
  <si>
    <t>707_E</t>
  </si>
  <si>
    <t xml:space="preserve">cheese spread, paste, thick                                                                         </t>
  </si>
  <si>
    <t>707_F</t>
  </si>
  <si>
    <t xml:space="preserve">cheese spread, paste, very thick                                                                    </t>
  </si>
  <si>
    <t xml:space="preserve">706_A      </t>
  </si>
  <si>
    <t xml:space="preserve">slices, very thin                                                                                   </t>
  </si>
  <si>
    <t xml:space="preserve">0500,0505,0700,0704,0706,1700,1701                                                                             </t>
  </si>
  <si>
    <t>706_B</t>
  </si>
  <si>
    <t xml:space="preserve">slices, thin                                                                                        </t>
  </si>
  <si>
    <t>706_C</t>
  </si>
  <si>
    <t xml:space="preserve">slices, medium low                                                                                   </t>
  </si>
  <si>
    <t>706_D</t>
  </si>
  <si>
    <t xml:space="preserve">slices, medium high                                                                             </t>
  </si>
  <si>
    <t>706_E</t>
  </si>
  <si>
    <t>slices, thick</t>
  </si>
  <si>
    <t>706_F</t>
  </si>
  <si>
    <t>slices, very thick</t>
  </si>
  <si>
    <t>609-A</t>
  </si>
  <si>
    <t>609-B</t>
  </si>
  <si>
    <t>609-C</t>
  </si>
  <si>
    <t>609-D</t>
  </si>
  <si>
    <t>d=0.91</t>
  </si>
  <si>
    <t>butter</t>
  </si>
  <si>
    <t>611-A</t>
  </si>
  <si>
    <t>611-B</t>
  </si>
  <si>
    <t>611-C</t>
  </si>
  <si>
    <t>611-D</t>
  </si>
  <si>
    <t>611-E</t>
  </si>
  <si>
    <t>611-F</t>
  </si>
  <si>
    <t>liver pate</t>
  </si>
  <si>
    <t>d=0.83</t>
  </si>
  <si>
    <t>621-A</t>
  </si>
  <si>
    <t>621-B</t>
  </si>
  <si>
    <t>621-C</t>
  </si>
  <si>
    <t>621-D</t>
  </si>
  <si>
    <t>621-E</t>
  </si>
  <si>
    <t>621-F</t>
  </si>
  <si>
    <t>mayonnaise salad</t>
  </si>
  <si>
    <t>d=1.04</t>
  </si>
  <si>
    <t>659-A</t>
  </si>
  <si>
    <t>659-B</t>
  </si>
  <si>
    <t>659-C</t>
  </si>
  <si>
    <t>659-D</t>
  </si>
  <si>
    <t>659-E</t>
  </si>
  <si>
    <t>659-F</t>
  </si>
  <si>
    <t>jam</t>
  </si>
  <si>
    <t>d=1.2</t>
  </si>
  <si>
    <t>660-A</t>
  </si>
  <si>
    <t>660-B</t>
  </si>
  <si>
    <t>660-C</t>
  </si>
  <si>
    <t>660-D</t>
  </si>
  <si>
    <t>vermicelli</t>
  </si>
  <si>
    <t>d=0.64</t>
  </si>
  <si>
    <t>650_1</t>
  </si>
  <si>
    <t>650_2</t>
  </si>
  <si>
    <t>650_3</t>
  </si>
  <si>
    <t>650_4</t>
  </si>
  <si>
    <t>650_5</t>
  </si>
  <si>
    <t>650_6</t>
  </si>
  <si>
    <t>d=0.85</t>
  </si>
  <si>
    <t>d=1.3</t>
  </si>
  <si>
    <t>d=0.95</t>
  </si>
  <si>
    <t>d=0.6</t>
  </si>
  <si>
    <t>31-A</t>
  </si>
  <si>
    <t>31-B</t>
  </si>
  <si>
    <t>31-C</t>
  </si>
  <si>
    <t>31-D</t>
  </si>
  <si>
    <t>weight</t>
  </si>
  <si>
    <t>slices of cheese</t>
  </si>
  <si>
    <t>33-A</t>
  </si>
  <si>
    <t>33-B</t>
  </si>
  <si>
    <t>33-C</t>
  </si>
  <si>
    <t>33-D</t>
  </si>
  <si>
    <t>cheese spread</t>
  </si>
  <si>
    <t>volume=weight/density</t>
  </si>
  <si>
    <t>height=volume/cm2=THICKNESS</t>
  </si>
  <si>
    <t xml:space="preserve">704_1      </t>
  </si>
  <si>
    <t xml:space="preserve">1000,1002,1003,1004                                                                          </t>
  </si>
  <si>
    <t>704_2</t>
  </si>
  <si>
    <t>704_3</t>
  </si>
  <si>
    <t>704_4</t>
  </si>
  <si>
    <t xml:space="preserve">708_1      </t>
  </si>
  <si>
    <t>708_2</t>
  </si>
  <si>
    <t>708_3</t>
  </si>
  <si>
    <t>708_4</t>
  </si>
  <si>
    <t>708_5</t>
  </si>
  <si>
    <t>708_6</t>
  </si>
  <si>
    <t xml:space="preserve">709_1      </t>
  </si>
  <si>
    <t>709_2</t>
  </si>
  <si>
    <t>709_3</t>
  </si>
  <si>
    <t>709_4</t>
  </si>
  <si>
    <t>709_5</t>
  </si>
  <si>
    <t>709_6</t>
  </si>
  <si>
    <t xml:space="preserve">707_1      </t>
  </si>
  <si>
    <t>0400,0402,0500,0504,0505,0700,0704,0706,0800,0803,1100,1102,1103,1500,1501,1502,1700,1701</t>
  </si>
  <si>
    <t>707_2</t>
  </si>
  <si>
    <t>707_3</t>
  </si>
  <si>
    <t>707_4</t>
  </si>
  <si>
    <t>707_5</t>
  </si>
  <si>
    <t>707_6</t>
  </si>
  <si>
    <t xml:space="preserve">706_1      </t>
  </si>
  <si>
    <t>706_2</t>
  </si>
  <si>
    <t>706_3</t>
  </si>
  <si>
    <t xml:space="preserve">slices, thick                                                                                       </t>
  </si>
  <si>
    <t>706_4</t>
  </si>
  <si>
    <t xml:space="preserve">slices, very thick                                                                                  </t>
  </si>
  <si>
    <t>706_5</t>
  </si>
  <si>
    <t>706_6</t>
  </si>
  <si>
    <t xml:space="preserve">G01       </t>
  </si>
  <si>
    <t xml:space="preserve">bread slice, omelette, pizza                                                                        </t>
  </si>
  <si>
    <t xml:space="preserve">0600,0603,1800,1802                                                                          </t>
  </si>
  <si>
    <t xml:space="preserve">03,04,05                                                                                            </t>
  </si>
  <si>
    <t xml:space="preserve">G02       </t>
  </si>
  <si>
    <t xml:space="preserve">G03       </t>
  </si>
  <si>
    <t xml:space="preserve">G04       </t>
  </si>
  <si>
    <t xml:space="preserve">G05       </t>
  </si>
  <si>
    <t xml:space="preserve">G06       </t>
  </si>
  <si>
    <t xml:space="preserve">bread large piece                                                                                   </t>
  </si>
  <si>
    <t xml:space="preserve">05                                                                                                  </t>
  </si>
  <si>
    <t xml:space="preserve">G07       </t>
  </si>
  <si>
    <t xml:space="preserve">G08       </t>
  </si>
  <si>
    <t xml:space="preserve">G09       </t>
  </si>
  <si>
    <t xml:space="preserve">G10       </t>
  </si>
  <si>
    <t xml:space="preserve">G11       </t>
  </si>
  <si>
    <t xml:space="preserve">G12       </t>
  </si>
  <si>
    <t xml:space="preserve">G13       </t>
  </si>
  <si>
    <t xml:space="preserve">G14       </t>
  </si>
  <si>
    <t xml:space="preserve">G15       </t>
  </si>
  <si>
    <t xml:space="preserve">G16       </t>
  </si>
  <si>
    <t xml:space="preserve">P1        </t>
  </si>
  <si>
    <t xml:space="preserve">pancake                                                                                             </t>
  </si>
  <si>
    <t xml:space="preserve">1200,1201                                                                                           </t>
  </si>
  <si>
    <t xml:space="preserve">P2        </t>
  </si>
  <si>
    <t xml:space="preserve">P3        </t>
  </si>
  <si>
    <t xml:space="preserve">P4        </t>
  </si>
  <si>
    <t>58-A</t>
  </si>
  <si>
    <t>58-B</t>
  </si>
  <si>
    <t>58-C</t>
  </si>
  <si>
    <t>58-D</t>
  </si>
  <si>
    <t>58-E</t>
  </si>
  <si>
    <t>59-A</t>
  </si>
  <si>
    <t>59-B</t>
  </si>
  <si>
    <t>59-C</t>
  </si>
  <si>
    <t>59-D</t>
  </si>
  <si>
    <t>60-A</t>
  </si>
  <si>
    <t>60-B</t>
  </si>
  <si>
    <t>60-C</t>
  </si>
  <si>
    <t>60-D</t>
  </si>
  <si>
    <t>chocolate vermicelli</t>
  </si>
  <si>
    <t>thickness</t>
  </si>
  <si>
    <t>density</t>
  </si>
  <si>
    <t>s=182</t>
  </si>
  <si>
    <t>s=105 cm2 and d=0.95</t>
  </si>
  <si>
    <t xml:space="preserve">648_1      </t>
  </si>
  <si>
    <t>0400,0401,1100,110100,110102,110103,110104,110105,110106,1501</t>
  </si>
  <si>
    <t>648_2</t>
  </si>
  <si>
    <t>648_3</t>
  </si>
  <si>
    <t>648_4</t>
  </si>
  <si>
    <t>648_5</t>
  </si>
  <si>
    <t>648_6</t>
  </si>
  <si>
    <t>ham/honey/syrup</t>
  </si>
  <si>
    <t>0400,0401,0403,1100,1101,1103,1500,1502</t>
  </si>
  <si>
    <t>1000,1002,1003,1004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</si>
</sst>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.5"/>
      <color theme="1"/>
      <name val="Courier New"/>
      <family val="3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0"/>
        <bgColor indexed="0"/>
      </patternFill>
    </fill>
    <fill>
      <patternFill patternType="solid">
        <fgColor indexed="13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1" fillId="0" borderId="1" xfId="1" applyFont="1" applyFill="1" applyBorder="1" applyAlignment="1"/>
    <xf numFmtId="2" fontId="0" fillId="0" borderId="0" xfId="0" applyNumberFormat="1" applyBorder="1" applyAlignment="1">
      <alignment horizontal="center"/>
    </xf>
    <xf numFmtId="0" fontId="1" fillId="2" borderId="2" xfId="1" applyFont="1" applyFill="1" applyBorder="1" applyAlignment="1"/>
    <xf numFmtId="0" fontId="2" fillId="0" borderId="1" xfId="1" quotePrefix="1" applyFont="1" applyFill="1" applyBorder="1" applyAlignment="1"/>
    <xf numFmtId="49" fontId="0" fillId="0" borderId="0" xfId="0" applyNumberFormat="1" applyBorder="1" applyAlignment="1">
      <alignment horizontal="left"/>
    </xf>
    <xf numFmtId="2" fontId="1" fillId="0" borderId="0" xfId="1" applyNumberFormat="1" applyFont="1" applyFill="1" applyBorder="1" applyAlignment="1">
      <alignment horizontal="center"/>
    </xf>
    <xf numFmtId="49" fontId="1" fillId="0" borderId="0" xfId="1" applyNumberFormat="1" applyFont="1" applyFill="1" applyBorder="1" applyAlignment="1">
      <alignment horizontal="left"/>
    </xf>
    <xf numFmtId="49" fontId="1" fillId="0" borderId="3" xfId="1" applyNumberFormat="1" applyFont="1" applyFill="1" applyBorder="1" applyAlignment="1">
      <alignment horizontal="left"/>
    </xf>
    <xf numFmtId="49" fontId="1" fillId="0" borderId="4" xfId="1" applyNumberFormat="1" applyFont="1" applyFill="1" applyBorder="1" applyAlignment="1">
      <alignment horizontal="left"/>
    </xf>
    <xf numFmtId="0" fontId="2" fillId="0" borderId="4" xfId="1" quotePrefix="1" applyFont="1" applyFill="1" applyBorder="1" applyAlignment="1"/>
    <xf numFmtId="0" fontId="0" fillId="3" borderId="0" xfId="0" applyFill="1"/>
    <xf numFmtId="0" fontId="1" fillId="0" borderId="5" xfId="2" applyFont="1" applyFill="1" applyBorder="1" applyAlignment="1">
      <alignment horizontal="center"/>
    </xf>
    <xf numFmtId="0" fontId="1" fillId="4" borderId="5" xfId="2" applyFont="1" applyFill="1" applyBorder="1" applyAlignment="1">
      <alignment horizontal="center"/>
    </xf>
    <xf numFmtId="0" fontId="1" fillId="0" borderId="6" xfId="2" applyFont="1" applyFill="1" applyBorder="1" applyAlignment="1">
      <alignment horizontal="center"/>
    </xf>
    <xf numFmtId="49" fontId="1" fillId="0" borderId="4" xfId="2" applyNumberFormat="1" applyFont="1" applyFill="1" applyBorder="1" applyAlignment="1">
      <alignment wrapText="1"/>
    </xf>
    <xf numFmtId="164" fontId="1" fillId="0" borderId="4" xfId="2" applyNumberFormat="1" applyFont="1" applyFill="1" applyBorder="1" applyAlignment="1">
      <alignment horizontal="right" wrapText="1"/>
    </xf>
    <xf numFmtId="0" fontId="1" fillId="0" borderId="4" xfId="2" applyFont="1" applyFill="1" applyBorder="1" applyAlignment="1">
      <alignment wrapText="1"/>
    </xf>
    <xf numFmtId="0" fontId="0" fillId="0" borderId="0" xfId="0" applyFill="1"/>
    <xf numFmtId="164" fontId="0" fillId="0" borderId="0" xfId="0" applyNumberFormat="1" applyFill="1"/>
    <xf numFmtId="0" fontId="1" fillId="0" borderId="7" xfId="2" applyFont="1" applyFill="1" applyBorder="1" applyAlignment="1">
      <alignment wrapText="1"/>
    </xf>
    <xf numFmtId="0" fontId="3" fillId="0" borderId="4" xfId="2" quotePrefix="1" applyFont="1" applyFill="1" applyBorder="1" applyAlignment="1"/>
    <xf numFmtId="0" fontId="1" fillId="0" borderId="4" xfId="2" quotePrefix="1" applyFont="1" applyFill="1" applyBorder="1" applyAlignment="1"/>
    <xf numFmtId="0" fontId="1" fillId="0" borderId="0" xfId="1" applyFont="1" applyFill="1" applyBorder="1" applyAlignment="1"/>
    <xf numFmtId="2" fontId="0" fillId="0" borderId="0" xfId="0" applyNumberFormat="1" applyFill="1"/>
    <xf numFmtId="0" fontId="4" fillId="0" borderId="0" xfId="0" applyFont="1" applyAlignment="1">
      <alignment vertical="center"/>
    </xf>
    <xf numFmtId="0" fontId="1" fillId="5" borderId="6" xfId="2" applyFont="1" applyFill="1" applyBorder="1" applyAlignment="1">
      <alignment horizontal="center"/>
    </xf>
    <xf numFmtId="0" fontId="1" fillId="6" borderId="4" xfId="2" applyFont="1" applyFill="1" applyBorder="1" applyAlignment="1">
      <alignment horizontal="right" wrapText="1"/>
    </xf>
    <xf numFmtId="0" fontId="1" fillId="0" borderId="4" xfId="2" quotePrefix="1" applyFont="1" applyFill="1" applyBorder="1" applyAlignment="1">
      <alignment wrapText="1"/>
    </xf>
    <xf numFmtId="0" fontId="4" fillId="0" borderId="0" xfId="0" applyFont="1"/>
    <xf numFmtId="0" fontId="0" fillId="7" borderId="0" xfId="0" applyFill="1"/>
    <xf numFmtId="49" fontId="2" fillId="0" borderId="0" xfId="1" applyNumberFormat="1" applyFont="1" applyFill="1" applyBorder="1" applyAlignment="1"/>
    <xf numFmtId="2" fontId="6" fillId="0" borderId="0" xfId="0" applyNumberFormat="1" applyFont="1" applyFill="1" applyBorder="1"/>
    <xf numFmtId="49" fontId="2" fillId="8" borderId="0" xfId="1" applyNumberFormat="1" applyFont="1" applyFill="1" applyBorder="1" applyAlignment="1">
      <alignment horizontal="left"/>
    </xf>
    <xf numFmtId="49" fontId="7" fillId="0" borderId="0" xfId="1" quotePrefix="1" applyNumberFormat="1" applyFont="1" applyFill="1" applyBorder="1" applyAlignment="1"/>
    <xf numFmtId="49" fontId="2" fillId="0" borderId="0" xfId="1" applyNumberFormat="1" applyFont="1" applyFill="1" applyBorder="1" applyAlignment="1">
      <alignment horizontal="left"/>
    </xf>
    <xf numFmtId="49" fontId="0" fillId="0" borderId="0" xfId="0" applyNumberFormat="1" applyFill="1"/>
    <xf numFmtId="49" fontId="5" fillId="0" borderId="0" xfId="0" applyNumberFormat="1" applyFont="1" applyFill="1"/>
  </cellXfs>
  <cellStyles count="3">
    <cellStyle name="Normal" xfId="0" builtinId="0"/>
    <cellStyle name="Normal_Sheet1" xfId="2"/>
    <cellStyle name="Normal_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abSelected="1" topLeftCell="A58" workbookViewId="0">
      <selection activeCell="D11" sqref="D11:D14"/>
    </sheetView>
  </sheetViews>
  <sheetFormatPr defaultRowHeight="15" x14ac:dyDescent="0.25"/>
  <cols>
    <col min="3" max="3" width="28.42578125" bestFit="1" customWidth="1"/>
    <col min="4" max="4" width="90" bestFit="1" customWidth="1"/>
  </cols>
  <sheetData>
    <row r="1" spans="1:7" x14ac:dyDescent="0.25">
      <c r="A1" s="11" t="s">
        <v>36</v>
      </c>
      <c r="B1" s="12" t="s">
        <v>37</v>
      </c>
      <c r="C1" s="13" t="s">
        <v>38</v>
      </c>
      <c r="D1" s="13" t="s">
        <v>39</v>
      </c>
      <c r="E1" s="13" t="s">
        <v>40</v>
      </c>
      <c r="F1" s="14"/>
      <c r="G1" s="14"/>
    </row>
    <row r="2" spans="1:7" x14ac:dyDescent="0.25">
      <c r="A2" s="1" t="s">
        <v>27</v>
      </c>
      <c r="B2" s="6">
        <v>9.0909090909090912E-2</v>
      </c>
      <c r="C2" s="3" t="s">
        <v>28</v>
      </c>
      <c r="D2" s="10" t="s">
        <v>29</v>
      </c>
      <c r="E2" s="9"/>
    </row>
    <row r="3" spans="1:7" x14ac:dyDescent="0.25">
      <c r="A3" s="1" t="s">
        <v>30</v>
      </c>
      <c r="B3" s="6">
        <v>0.18181818181818182</v>
      </c>
      <c r="C3" s="3" t="s">
        <v>31</v>
      </c>
      <c r="D3" s="10" t="s">
        <v>29</v>
      </c>
      <c r="E3" s="9"/>
    </row>
    <row r="4" spans="1:7" x14ac:dyDescent="0.25">
      <c r="A4" s="1" t="s">
        <v>32</v>
      </c>
      <c r="B4" s="6">
        <v>0.27272727272727271</v>
      </c>
      <c r="C4" s="3" t="s">
        <v>33</v>
      </c>
      <c r="D4" s="10" t="s">
        <v>29</v>
      </c>
      <c r="E4" s="9"/>
    </row>
    <row r="5" spans="1:7" x14ac:dyDescent="0.25">
      <c r="A5" s="1" t="s">
        <v>34</v>
      </c>
      <c r="B5" s="6">
        <v>0.36363636363636365</v>
      </c>
      <c r="C5" s="3" t="s">
        <v>35</v>
      </c>
      <c r="D5" s="10" t="s">
        <v>29</v>
      </c>
      <c r="E5" s="9"/>
    </row>
    <row r="6" spans="1:7" x14ac:dyDescent="0.25">
      <c r="A6" s="1" t="s">
        <v>18</v>
      </c>
      <c r="B6" s="6">
        <v>9.0909090909090912E-2</v>
      </c>
      <c r="C6" s="3" t="s">
        <v>19</v>
      </c>
      <c r="D6" s="10" t="s">
        <v>20</v>
      </c>
      <c r="E6" s="9"/>
    </row>
    <row r="7" spans="1:7" x14ac:dyDescent="0.25">
      <c r="A7" s="1" t="s">
        <v>21</v>
      </c>
      <c r="B7" s="6">
        <v>0.18181818181818182</v>
      </c>
      <c r="C7" s="3" t="s">
        <v>22</v>
      </c>
      <c r="D7" s="10" t="s">
        <v>20</v>
      </c>
      <c r="E7" s="9"/>
    </row>
    <row r="8" spans="1:7" x14ac:dyDescent="0.25">
      <c r="A8" s="1" t="s">
        <v>23</v>
      </c>
      <c r="B8" s="6">
        <v>0.27272727272727271</v>
      </c>
      <c r="C8" s="3" t="s">
        <v>24</v>
      </c>
      <c r="D8" s="10" t="s">
        <v>20</v>
      </c>
      <c r="E8" s="9"/>
    </row>
    <row r="9" spans="1:7" x14ac:dyDescent="0.25">
      <c r="A9" s="1" t="s">
        <v>25</v>
      </c>
      <c r="B9" s="6">
        <v>0.36363636363636365</v>
      </c>
      <c r="C9" s="3" t="s">
        <v>26</v>
      </c>
      <c r="D9" s="10" t="s">
        <v>20</v>
      </c>
      <c r="E9" s="9"/>
    </row>
    <row r="10" spans="1:7" x14ac:dyDescent="0.25">
      <c r="A10" s="1" t="s">
        <v>0</v>
      </c>
      <c r="B10" s="2">
        <v>4.9950049950049945E-2</v>
      </c>
      <c r="C10" s="3" t="s">
        <v>1</v>
      </c>
      <c r="D10" s="4" t="s">
        <v>248</v>
      </c>
      <c r="E10" s="5"/>
    </row>
    <row r="11" spans="1:7" x14ac:dyDescent="0.25">
      <c r="A11" s="1" t="s">
        <v>2</v>
      </c>
      <c r="B11" s="2">
        <v>9.990009990009989E-2</v>
      </c>
      <c r="C11" s="3" t="s">
        <v>3</v>
      </c>
      <c r="D11" s="4" t="s">
        <v>248</v>
      </c>
      <c r="E11" s="5"/>
    </row>
    <row r="12" spans="1:7" x14ac:dyDescent="0.25">
      <c r="A12" s="1" t="s">
        <v>4</v>
      </c>
      <c r="B12" s="2">
        <v>0.14985014985014983</v>
      </c>
      <c r="C12" s="3" t="s">
        <v>5</v>
      </c>
      <c r="D12" s="4" t="s">
        <v>248</v>
      </c>
      <c r="E12" s="5"/>
    </row>
    <row r="13" spans="1:7" x14ac:dyDescent="0.25">
      <c r="A13" s="1" t="s">
        <v>6</v>
      </c>
      <c r="B13" s="2">
        <v>0.19980019980019978</v>
      </c>
      <c r="C13" s="3" t="s">
        <v>7</v>
      </c>
      <c r="D13" s="4" t="s">
        <v>248</v>
      </c>
      <c r="E13" s="5"/>
    </row>
    <row r="14" spans="1:7" x14ac:dyDescent="0.25">
      <c r="A14" s="1" t="s">
        <v>8</v>
      </c>
      <c r="B14" s="2">
        <v>0.29970029970029965</v>
      </c>
      <c r="C14" s="3" t="s">
        <v>9</v>
      </c>
      <c r="D14" s="4" t="s">
        <v>248</v>
      </c>
      <c r="E14" s="5"/>
    </row>
    <row r="15" spans="1:7" x14ac:dyDescent="0.25">
      <c r="A15" s="1" t="s">
        <v>10</v>
      </c>
      <c r="B15" s="6">
        <v>7.575757575757576E-2</v>
      </c>
      <c r="C15" s="3" t="s">
        <v>11</v>
      </c>
      <c r="D15" s="4" t="s">
        <v>247</v>
      </c>
      <c r="E15" s="7"/>
    </row>
    <row r="16" spans="1:7" x14ac:dyDescent="0.25">
      <c r="A16" s="1" t="s">
        <v>12</v>
      </c>
      <c r="B16" s="6">
        <v>0.15151515151515152</v>
      </c>
      <c r="C16" s="3" t="s">
        <v>13</v>
      </c>
      <c r="D16" s="4" t="s">
        <v>247</v>
      </c>
      <c r="E16" s="7"/>
    </row>
    <row r="17" spans="1:7" x14ac:dyDescent="0.25">
      <c r="A17" s="1" t="s">
        <v>14</v>
      </c>
      <c r="B17" s="6">
        <v>0.26515151515151514</v>
      </c>
      <c r="C17" s="3" t="s">
        <v>15</v>
      </c>
      <c r="D17" s="4" t="s">
        <v>247</v>
      </c>
      <c r="E17" s="8"/>
    </row>
    <row r="18" spans="1:7" x14ac:dyDescent="0.25">
      <c r="A18" s="1" t="s">
        <v>16</v>
      </c>
      <c r="B18" s="6">
        <v>0.37878787878787878</v>
      </c>
      <c r="C18" s="3" t="s">
        <v>17</v>
      </c>
      <c r="D18" s="4" t="s">
        <v>247</v>
      </c>
      <c r="E18" s="9"/>
    </row>
    <row r="19" spans="1:7" x14ac:dyDescent="0.25">
      <c r="A19" s="15" t="s">
        <v>41</v>
      </c>
      <c r="B19" s="16">
        <v>2.9048656499636893E-2</v>
      </c>
      <c r="C19" s="17" t="s">
        <v>42</v>
      </c>
      <c r="D19" s="21" t="s">
        <v>43</v>
      </c>
      <c r="E19" s="17" t="s">
        <v>145</v>
      </c>
      <c r="F19" s="18"/>
      <c r="G19" s="18"/>
    </row>
    <row r="20" spans="1:7" x14ac:dyDescent="0.25">
      <c r="A20" s="15" t="s">
        <v>45</v>
      </c>
      <c r="B20" s="16">
        <v>5.8097312999273787E-2</v>
      </c>
      <c r="C20" s="17" t="s">
        <v>46</v>
      </c>
      <c r="D20" s="21" t="s">
        <v>43</v>
      </c>
      <c r="E20" s="17" t="s">
        <v>44</v>
      </c>
      <c r="F20" s="18"/>
      <c r="G20" s="18"/>
    </row>
    <row r="21" spans="1:7" x14ac:dyDescent="0.25">
      <c r="A21" s="15" t="s">
        <v>47</v>
      </c>
      <c r="B21" s="16">
        <v>0.11619462599854757</v>
      </c>
      <c r="C21" s="17" t="s">
        <v>48</v>
      </c>
      <c r="D21" s="21" t="s">
        <v>43</v>
      </c>
      <c r="E21" s="17" t="s">
        <v>44</v>
      </c>
      <c r="F21" s="18"/>
      <c r="G21" s="18"/>
    </row>
    <row r="22" spans="1:7" x14ac:dyDescent="0.25">
      <c r="A22" s="15" t="s">
        <v>49</v>
      </c>
      <c r="B22" s="16">
        <v>0.17429193899782133</v>
      </c>
      <c r="C22" s="17" t="s">
        <v>50</v>
      </c>
      <c r="D22" s="21" t="s">
        <v>43</v>
      </c>
      <c r="E22" s="17" t="s">
        <v>44</v>
      </c>
      <c r="F22" s="18"/>
      <c r="G22" s="18"/>
    </row>
    <row r="23" spans="1:7" x14ac:dyDescent="0.25">
      <c r="A23" s="15" t="s">
        <v>90</v>
      </c>
      <c r="B23" s="16">
        <v>0.102880658436214</v>
      </c>
      <c r="C23" s="17" t="s">
        <v>91</v>
      </c>
      <c r="D23" s="22" t="s">
        <v>92</v>
      </c>
      <c r="E23" s="17" t="s">
        <v>148</v>
      </c>
      <c r="F23" s="18"/>
      <c r="G23" s="18"/>
    </row>
    <row r="24" spans="1:7" x14ac:dyDescent="0.25">
      <c r="A24" s="15" t="s">
        <v>93</v>
      </c>
      <c r="B24" s="16">
        <v>0.20576131687242799</v>
      </c>
      <c r="C24" s="17" t="s">
        <v>94</v>
      </c>
      <c r="D24" s="22" t="s">
        <v>92</v>
      </c>
      <c r="E24" s="17" t="s">
        <v>44</v>
      </c>
      <c r="F24" s="18"/>
      <c r="G24" s="18"/>
    </row>
    <row r="25" spans="1:7" x14ac:dyDescent="0.25">
      <c r="A25" s="15" t="s">
        <v>95</v>
      </c>
      <c r="B25" s="16">
        <v>0.41152263374485598</v>
      </c>
      <c r="C25" s="17" t="s">
        <v>96</v>
      </c>
      <c r="D25" s="22" t="s">
        <v>92</v>
      </c>
      <c r="E25" s="17" t="s">
        <v>44</v>
      </c>
      <c r="F25" s="18"/>
      <c r="G25" s="18"/>
    </row>
    <row r="26" spans="1:7" x14ac:dyDescent="0.25">
      <c r="A26" s="15" t="s">
        <v>97</v>
      </c>
      <c r="B26" s="16">
        <v>0.61728395061728392</v>
      </c>
      <c r="C26" s="17" t="s">
        <v>98</v>
      </c>
      <c r="D26" s="22" t="s">
        <v>92</v>
      </c>
      <c r="E26" s="17" t="s">
        <v>44</v>
      </c>
      <c r="F26" s="18"/>
      <c r="G26" s="18"/>
    </row>
    <row r="27" spans="1:7" x14ac:dyDescent="0.25">
      <c r="A27" s="15" t="s">
        <v>99</v>
      </c>
      <c r="B27" s="16">
        <v>0.82304526748971196</v>
      </c>
      <c r="C27" s="17" t="s">
        <v>100</v>
      </c>
      <c r="D27" s="22" t="s">
        <v>92</v>
      </c>
      <c r="E27" s="17"/>
      <c r="F27" s="18"/>
      <c r="G27" s="18"/>
    </row>
    <row r="28" spans="1:7" x14ac:dyDescent="0.25">
      <c r="A28" s="15" t="s">
        <v>101</v>
      </c>
      <c r="B28" s="19">
        <v>1.0288065843621401</v>
      </c>
      <c r="C28" s="20" t="s">
        <v>102</v>
      </c>
      <c r="D28" s="22" t="s">
        <v>92</v>
      </c>
      <c r="F28" s="18"/>
      <c r="G28" s="18"/>
    </row>
    <row r="29" spans="1:7" x14ac:dyDescent="0.25">
      <c r="A29" s="15" t="s">
        <v>77</v>
      </c>
      <c r="B29" s="16">
        <v>6.497725795971411E-2</v>
      </c>
      <c r="C29" s="17" t="s">
        <v>78</v>
      </c>
      <c r="D29" s="22" t="s">
        <v>79</v>
      </c>
      <c r="E29" t="s">
        <v>147</v>
      </c>
      <c r="F29" s="18"/>
      <c r="G29" s="18"/>
    </row>
    <row r="30" spans="1:7" x14ac:dyDescent="0.25">
      <c r="A30" s="15" t="s">
        <v>80</v>
      </c>
      <c r="B30" s="16">
        <v>0.12995451591942822</v>
      </c>
      <c r="C30" s="17" t="s">
        <v>81</v>
      </c>
      <c r="D30" s="22" t="s">
        <v>79</v>
      </c>
      <c r="E30" s="17" t="s">
        <v>44</v>
      </c>
      <c r="F30" s="18"/>
      <c r="G30" s="18"/>
    </row>
    <row r="31" spans="1:7" ht="26.25" x14ac:dyDescent="0.25">
      <c r="A31" s="15" t="s">
        <v>82</v>
      </c>
      <c r="B31" s="16">
        <v>0.25990903183885644</v>
      </c>
      <c r="C31" s="17" t="s">
        <v>83</v>
      </c>
      <c r="D31" s="22" t="s">
        <v>79</v>
      </c>
      <c r="E31" s="17" t="s">
        <v>44</v>
      </c>
      <c r="F31" s="18"/>
      <c r="G31" s="18"/>
    </row>
    <row r="32" spans="1:7" ht="26.25" x14ac:dyDescent="0.25">
      <c r="A32" s="15" t="s">
        <v>84</v>
      </c>
      <c r="B32" s="16">
        <v>0.38986354775828463</v>
      </c>
      <c r="C32" s="17" t="s">
        <v>85</v>
      </c>
      <c r="D32" s="22" t="s">
        <v>79</v>
      </c>
      <c r="E32" s="17" t="s">
        <v>44</v>
      </c>
      <c r="F32" s="18"/>
      <c r="G32" s="18"/>
    </row>
    <row r="33" spans="1:7" x14ac:dyDescent="0.25">
      <c r="A33" s="15" t="s">
        <v>86</v>
      </c>
      <c r="B33" s="16">
        <v>0.51981806367771288</v>
      </c>
      <c r="C33" s="17" t="s">
        <v>87</v>
      </c>
      <c r="D33" s="22" t="s">
        <v>79</v>
      </c>
      <c r="E33" s="17" t="s">
        <v>44</v>
      </c>
      <c r="F33" s="18"/>
      <c r="G33" s="18"/>
    </row>
    <row r="34" spans="1:7" x14ac:dyDescent="0.25">
      <c r="A34" s="15" t="s">
        <v>88</v>
      </c>
      <c r="B34" s="16">
        <v>0.64977257959714108</v>
      </c>
      <c r="C34" s="17" t="s">
        <v>89</v>
      </c>
      <c r="D34" s="22" t="s">
        <v>79</v>
      </c>
      <c r="E34" s="17" t="s">
        <v>44</v>
      </c>
      <c r="F34" s="18"/>
      <c r="G34" s="18"/>
    </row>
    <row r="35" spans="1:7" x14ac:dyDescent="0.25">
      <c r="A35" s="15" t="s">
        <v>51</v>
      </c>
      <c r="B35" s="16">
        <v>4.7483380816714146E-2</v>
      </c>
      <c r="C35" s="17" t="s">
        <v>52</v>
      </c>
      <c r="D35" s="22" t="s">
        <v>53</v>
      </c>
      <c r="E35" t="s">
        <v>146</v>
      </c>
      <c r="F35" s="18"/>
      <c r="G35" s="18"/>
    </row>
    <row r="36" spans="1:7" x14ac:dyDescent="0.25">
      <c r="A36" s="15" t="s">
        <v>54</v>
      </c>
      <c r="B36" s="16">
        <v>9.4966761633428293E-2</v>
      </c>
      <c r="C36" s="17" t="s">
        <v>55</v>
      </c>
      <c r="D36" s="22" t="s">
        <v>53</v>
      </c>
      <c r="E36" s="17" t="s">
        <v>44</v>
      </c>
      <c r="F36" s="18"/>
      <c r="G36" s="18"/>
    </row>
    <row r="37" spans="1:7" x14ac:dyDescent="0.25">
      <c r="A37" s="15" t="s">
        <v>56</v>
      </c>
      <c r="B37" s="16">
        <v>0.18993352326685659</v>
      </c>
      <c r="C37" s="17" t="s">
        <v>57</v>
      </c>
      <c r="D37" s="22" t="s">
        <v>53</v>
      </c>
      <c r="E37" s="17" t="s">
        <v>44</v>
      </c>
      <c r="F37" s="18"/>
      <c r="G37" s="18"/>
    </row>
    <row r="38" spans="1:7" x14ac:dyDescent="0.25">
      <c r="A38" s="15" t="s">
        <v>58</v>
      </c>
      <c r="B38" s="16">
        <v>0.28490028490028491</v>
      </c>
      <c r="C38" s="17" t="s">
        <v>59</v>
      </c>
      <c r="D38" s="22" t="s">
        <v>53</v>
      </c>
      <c r="E38" s="17" t="s">
        <v>44</v>
      </c>
      <c r="F38" s="18"/>
      <c r="G38" s="18"/>
    </row>
    <row r="39" spans="1:7" x14ac:dyDescent="0.25">
      <c r="A39" s="15" t="s">
        <v>60</v>
      </c>
      <c r="B39" s="16">
        <v>0.37986704653371317</v>
      </c>
      <c r="C39" s="17" t="s">
        <v>61</v>
      </c>
      <c r="D39" s="22" t="s">
        <v>53</v>
      </c>
      <c r="E39" s="17" t="s">
        <v>44</v>
      </c>
      <c r="F39" s="18"/>
      <c r="G39" s="18"/>
    </row>
    <row r="40" spans="1:7" x14ac:dyDescent="0.25">
      <c r="A40" s="15" t="s">
        <v>62</v>
      </c>
      <c r="B40" s="16">
        <v>0.47483380816714149</v>
      </c>
      <c r="C40" s="17" t="s">
        <v>63</v>
      </c>
      <c r="D40" s="22" t="s">
        <v>53</v>
      </c>
      <c r="E40" s="17" t="s">
        <v>44</v>
      </c>
      <c r="F40" s="18"/>
      <c r="G40" s="18"/>
    </row>
    <row r="41" spans="1:7" x14ac:dyDescent="0.25">
      <c r="A41" s="15" t="s">
        <v>64</v>
      </c>
      <c r="B41" s="16">
        <v>6.497725795971411E-2</v>
      </c>
      <c r="C41" s="17" t="s">
        <v>65</v>
      </c>
      <c r="D41" s="22" t="s">
        <v>66</v>
      </c>
      <c r="E41" t="s">
        <v>147</v>
      </c>
      <c r="F41" s="18"/>
      <c r="G41" s="18"/>
    </row>
    <row r="42" spans="1:7" x14ac:dyDescent="0.25">
      <c r="A42" s="15" t="s">
        <v>67</v>
      </c>
      <c r="B42" s="16">
        <v>0.12995451591942822</v>
      </c>
      <c r="C42" s="17" t="s">
        <v>68</v>
      </c>
      <c r="D42" s="22" t="s">
        <v>66</v>
      </c>
      <c r="E42" s="17" t="s">
        <v>44</v>
      </c>
      <c r="F42" s="18"/>
      <c r="G42" s="18"/>
    </row>
    <row r="43" spans="1:7" x14ac:dyDescent="0.25">
      <c r="A43" s="15" t="s">
        <v>69</v>
      </c>
      <c r="B43" s="16">
        <v>0.25990903183885644</v>
      </c>
      <c r="C43" s="17" t="s">
        <v>70</v>
      </c>
      <c r="D43" s="22" t="s">
        <v>66</v>
      </c>
      <c r="E43" s="17" t="s">
        <v>44</v>
      </c>
      <c r="F43" s="18"/>
      <c r="G43" s="18"/>
    </row>
    <row r="44" spans="1:7" x14ac:dyDescent="0.25">
      <c r="A44" s="15" t="s">
        <v>71</v>
      </c>
      <c r="B44" s="16">
        <v>0.38986354775828463</v>
      </c>
      <c r="C44" s="17" t="s">
        <v>72</v>
      </c>
      <c r="D44" s="22" t="s">
        <v>66</v>
      </c>
      <c r="E44" s="17" t="s">
        <v>44</v>
      </c>
      <c r="F44" s="18"/>
      <c r="G44" s="18"/>
    </row>
    <row r="45" spans="1:7" x14ac:dyDescent="0.25">
      <c r="A45" s="15" t="s">
        <v>73</v>
      </c>
      <c r="B45" s="16">
        <v>0.51981806367771288</v>
      </c>
      <c r="C45" s="17" t="s">
        <v>74</v>
      </c>
      <c r="D45" s="22" t="s">
        <v>66</v>
      </c>
      <c r="E45" s="17" t="s">
        <v>44</v>
      </c>
      <c r="F45" s="18"/>
      <c r="G45" s="18"/>
    </row>
    <row r="46" spans="1:7" x14ac:dyDescent="0.25">
      <c r="A46" s="15" t="s">
        <v>75</v>
      </c>
      <c r="B46" s="16">
        <v>0.64977257959714108</v>
      </c>
      <c r="C46" s="17" t="s">
        <v>76</v>
      </c>
      <c r="D46" s="22" t="s">
        <v>66</v>
      </c>
      <c r="E46" s="17" t="s">
        <v>44</v>
      </c>
      <c r="F46" s="18"/>
      <c r="G46" s="18"/>
    </row>
    <row r="47" spans="1:7" x14ac:dyDescent="0.25">
      <c r="A47" t="s">
        <v>103</v>
      </c>
      <c r="B47">
        <v>2.442002442002442E-2</v>
      </c>
      <c r="C47" s="20" t="s">
        <v>108</v>
      </c>
      <c r="E47" t="s">
        <v>107</v>
      </c>
    </row>
    <row r="48" spans="1:7" x14ac:dyDescent="0.25">
      <c r="A48" t="s">
        <v>104</v>
      </c>
      <c r="B48">
        <v>4.884004884004884E-2</v>
      </c>
      <c r="C48" s="20" t="s">
        <v>108</v>
      </c>
    </row>
    <row r="49" spans="1:5" x14ac:dyDescent="0.25">
      <c r="A49" t="s">
        <v>105</v>
      </c>
      <c r="B49">
        <v>7.3260073260073263E-2</v>
      </c>
      <c r="C49" s="20" t="s">
        <v>108</v>
      </c>
    </row>
    <row r="50" spans="1:5" x14ac:dyDescent="0.25">
      <c r="A50" t="s">
        <v>106</v>
      </c>
      <c r="B50">
        <v>9.768009768009768E-2</v>
      </c>
      <c r="C50" s="20" t="s">
        <v>108</v>
      </c>
    </row>
    <row r="51" spans="1:5" x14ac:dyDescent="0.25">
      <c r="A51" t="s">
        <v>109</v>
      </c>
      <c r="B51">
        <v>4.4622936189201247E-2</v>
      </c>
      <c r="C51" t="s">
        <v>115</v>
      </c>
      <c r="E51" t="s">
        <v>116</v>
      </c>
    </row>
    <row r="52" spans="1:5" x14ac:dyDescent="0.25">
      <c r="A52" t="s">
        <v>110</v>
      </c>
      <c r="B52">
        <v>9.8170459616242767E-2</v>
      </c>
      <c r="C52" t="s">
        <v>115</v>
      </c>
    </row>
    <row r="53" spans="1:5" x14ac:dyDescent="0.25">
      <c r="A53" t="s">
        <v>111</v>
      </c>
      <c r="B53">
        <v>0.17849174475680499</v>
      </c>
      <c r="C53" t="s">
        <v>115</v>
      </c>
    </row>
    <row r="54" spans="1:5" x14ac:dyDescent="0.25">
      <c r="A54" t="s">
        <v>112</v>
      </c>
      <c r="B54">
        <v>0.2677376171352075</v>
      </c>
      <c r="C54" t="s">
        <v>115</v>
      </c>
    </row>
    <row r="55" spans="1:5" x14ac:dyDescent="0.25">
      <c r="A55" t="s">
        <v>113</v>
      </c>
      <c r="B55">
        <v>0.35698348951360998</v>
      </c>
      <c r="C55" t="s">
        <v>115</v>
      </c>
    </row>
    <row r="56" spans="1:5" x14ac:dyDescent="0.25">
      <c r="A56" t="s">
        <v>114</v>
      </c>
      <c r="B56">
        <v>0.46407853636769303</v>
      </c>
      <c r="C56" t="s">
        <v>115</v>
      </c>
    </row>
    <row r="57" spans="1:5" x14ac:dyDescent="0.25">
      <c r="A57" t="s">
        <v>117</v>
      </c>
      <c r="B57">
        <v>3.5612535612535606E-2</v>
      </c>
      <c r="C57" t="s">
        <v>123</v>
      </c>
      <c r="E57" t="s">
        <v>124</v>
      </c>
    </row>
    <row r="58" spans="1:5" x14ac:dyDescent="0.25">
      <c r="A58" t="s">
        <v>118</v>
      </c>
      <c r="B58">
        <v>7.1225071225071213E-2</v>
      </c>
      <c r="C58" t="s">
        <v>123</v>
      </c>
    </row>
    <row r="59" spans="1:5" x14ac:dyDescent="0.25">
      <c r="A59" t="s">
        <v>119</v>
      </c>
      <c r="B59">
        <v>0.14245014245014243</v>
      </c>
      <c r="C59" t="s">
        <v>123</v>
      </c>
    </row>
    <row r="60" spans="1:5" x14ac:dyDescent="0.25">
      <c r="A60" t="s">
        <v>120</v>
      </c>
      <c r="B60">
        <v>0.21367521367521367</v>
      </c>
      <c r="C60" t="s">
        <v>123</v>
      </c>
    </row>
    <row r="61" spans="1:5" x14ac:dyDescent="0.25">
      <c r="A61" t="s">
        <v>121</v>
      </c>
      <c r="B61">
        <v>0.28490028490028485</v>
      </c>
      <c r="C61" t="s">
        <v>123</v>
      </c>
    </row>
    <row r="62" spans="1:5" x14ac:dyDescent="0.25">
      <c r="A62" t="s">
        <v>122</v>
      </c>
      <c r="B62">
        <v>0.42735042735042733</v>
      </c>
      <c r="C62" t="s">
        <v>123</v>
      </c>
    </row>
    <row r="63" spans="1:5" x14ac:dyDescent="0.25">
      <c r="A63" t="s">
        <v>125</v>
      </c>
      <c r="B63">
        <v>3.0864197530864196E-2</v>
      </c>
      <c r="C63" t="s">
        <v>131</v>
      </c>
      <c r="E63" t="s">
        <v>132</v>
      </c>
    </row>
    <row r="64" spans="1:5" x14ac:dyDescent="0.25">
      <c r="A64" t="s">
        <v>126</v>
      </c>
      <c r="B64">
        <v>6.1728395061728392E-2</v>
      </c>
      <c r="C64" t="s">
        <v>131</v>
      </c>
    </row>
    <row r="65" spans="1:8" x14ac:dyDescent="0.25">
      <c r="A65" t="s">
        <v>127</v>
      </c>
      <c r="B65">
        <v>0.12345679012345678</v>
      </c>
      <c r="C65" t="s">
        <v>131</v>
      </c>
    </row>
    <row r="66" spans="1:8" x14ac:dyDescent="0.25">
      <c r="A66" t="s">
        <v>128</v>
      </c>
      <c r="B66">
        <v>0.18518518518518517</v>
      </c>
      <c r="C66" t="s">
        <v>131</v>
      </c>
    </row>
    <row r="67" spans="1:8" x14ac:dyDescent="0.25">
      <c r="A67" t="s">
        <v>129</v>
      </c>
      <c r="B67">
        <v>0.24691358024691357</v>
      </c>
      <c r="C67" t="s">
        <v>131</v>
      </c>
    </row>
    <row r="68" spans="1:8" x14ac:dyDescent="0.25">
      <c r="A68" t="s">
        <v>130</v>
      </c>
      <c r="B68">
        <v>0.30864197530864196</v>
      </c>
      <c r="C68" t="s">
        <v>131</v>
      </c>
    </row>
    <row r="69" spans="1:8" x14ac:dyDescent="0.25">
      <c r="A69" t="s">
        <v>133</v>
      </c>
      <c r="B69">
        <v>5.7870370370370364E-2</v>
      </c>
      <c r="C69" t="s">
        <v>137</v>
      </c>
      <c r="E69" t="s">
        <v>138</v>
      </c>
    </row>
    <row r="70" spans="1:8" x14ac:dyDescent="0.25">
      <c r="A70" t="s">
        <v>134</v>
      </c>
      <c r="B70">
        <v>0.11574074074074073</v>
      </c>
      <c r="C70" t="s">
        <v>137</v>
      </c>
    </row>
    <row r="71" spans="1:8" x14ac:dyDescent="0.25">
      <c r="A71" t="s">
        <v>135</v>
      </c>
      <c r="B71">
        <v>0.1736111111111111</v>
      </c>
      <c r="C71" t="s">
        <v>137</v>
      </c>
    </row>
    <row r="72" spans="1:8" x14ac:dyDescent="0.25">
      <c r="A72" t="s">
        <v>136</v>
      </c>
      <c r="B72">
        <v>0.2893518518518518</v>
      </c>
      <c r="C72" t="s">
        <v>137</v>
      </c>
    </row>
    <row r="73" spans="1:8" x14ac:dyDescent="0.25">
      <c r="A73" s="23" t="s">
        <v>139</v>
      </c>
      <c r="B73" s="24">
        <v>4.4622936189201247E-2</v>
      </c>
      <c r="C73" t="s">
        <v>115</v>
      </c>
      <c r="E73" t="s">
        <v>116</v>
      </c>
    </row>
    <row r="74" spans="1:8" x14ac:dyDescent="0.25">
      <c r="A74" s="23" t="s">
        <v>140</v>
      </c>
      <c r="B74" s="24">
        <v>8.9245872378402494E-2</v>
      </c>
      <c r="C74" t="s">
        <v>115</v>
      </c>
    </row>
    <row r="75" spans="1:8" x14ac:dyDescent="0.25">
      <c r="A75" s="23" t="s">
        <v>141</v>
      </c>
      <c r="B75" s="24">
        <v>0.17849174475680499</v>
      </c>
      <c r="C75" t="s">
        <v>115</v>
      </c>
    </row>
    <row r="76" spans="1:8" x14ac:dyDescent="0.25">
      <c r="A76" s="23" t="s">
        <v>142</v>
      </c>
      <c r="B76" s="24">
        <v>0.2677376171352075</v>
      </c>
      <c r="C76" t="s">
        <v>115</v>
      </c>
    </row>
    <row r="77" spans="1:8" x14ac:dyDescent="0.25">
      <c r="A77" s="23" t="s">
        <v>143</v>
      </c>
      <c r="B77" s="24">
        <v>0.35698348951360998</v>
      </c>
      <c r="C77" t="s">
        <v>115</v>
      </c>
    </row>
    <row r="78" spans="1:8" x14ac:dyDescent="0.25">
      <c r="A78" s="23" t="s">
        <v>144</v>
      </c>
      <c r="B78" s="24">
        <v>0.44622936189201251</v>
      </c>
      <c r="C78" t="s">
        <v>115</v>
      </c>
    </row>
    <row r="79" spans="1:8" s="36" customFormat="1" x14ac:dyDescent="0.25">
      <c r="A79" s="31" t="s">
        <v>239</v>
      </c>
      <c r="B79" s="32">
        <v>3.0864197530864196E-2</v>
      </c>
      <c r="C79" s="33" t="s">
        <v>246</v>
      </c>
      <c r="D79" s="34" t="s">
        <v>240</v>
      </c>
      <c r="E79" s="35"/>
      <c r="H79" s="37"/>
    </row>
    <row r="80" spans="1:8" s="36" customFormat="1" x14ac:dyDescent="0.25">
      <c r="A80" s="31" t="s">
        <v>241</v>
      </c>
      <c r="B80" s="32">
        <v>6.1728395061728392E-2</v>
      </c>
      <c r="C80" s="33" t="s">
        <v>246</v>
      </c>
      <c r="D80" s="34" t="s">
        <v>240</v>
      </c>
      <c r="E80" s="35"/>
    </row>
    <row r="81" spans="1:5" s="36" customFormat="1" x14ac:dyDescent="0.25">
      <c r="A81" s="31" t="s">
        <v>242</v>
      </c>
      <c r="B81" s="32">
        <v>0.11</v>
      </c>
      <c r="C81" s="33" t="s">
        <v>246</v>
      </c>
      <c r="D81" s="34" t="s">
        <v>240</v>
      </c>
      <c r="E81" s="35"/>
    </row>
    <row r="82" spans="1:5" s="36" customFormat="1" x14ac:dyDescent="0.25">
      <c r="A82" s="31" t="s">
        <v>243</v>
      </c>
      <c r="B82" s="32">
        <v>0.17</v>
      </c>
      <c r="C82" s="33" t="s">
        <v>246</v>
      </c>
      <c r="D82" s="34" t="s">
        <v>240</v>
      </c>
      <c r="E82" s="35"/>
    </row>
    <row r="83" spans="1:5" s="36" customFormat="1" x14ac:dyDescent="0.25">
      <c r="A83" s="31" t="s">
        <v>244</v>
      </c>
      <c r="B83" s="32">
        <v>0.23</v>
      </c>
      <c r="C83" s="33" t="s">
        <v>246</v>
      </c>
      <c r="D83" s="34" t="s">
        <v>240</v>
      </c>
      <c r="E83" s="35"/>
    </row>
    <row r="84" spans="1:5" s="36" customFormat="1" x14ac:dyDescent="0.25">
      <c r="A84" s="31" t="s">
        <v>245</v>
      </c>
      <c r="B84" s="32">
        <v>0.28000000000000003</v>
      </c>
      <c r="C84" s="33" t="s">
        <v>246</v>
      </c>
      <c r="D84" s="34" t="s">
        <v>240</v>
      </c>
      <c r="E84" s="3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J9" sqref="J9"/>
    </sheetView>
  </sheetViews>
  <sheetFormatPr defaultRowHeight="15" x14ac:dyDescent="0.25"/>
  <sheetData>
    <row r="1" spans="1:12" x14ac:dyDescent="0.25">
      <c r="B1" t="s">
        <v>153</v>
      </c>
      <c r="C1" t="s">
        <v>235</v>
      </c>
      <c r="D1" t="s">
        <v>236</v>
      </c>
    </row>
    <row r="2" spans="1:12" x14ac:dyDescent="0.25">
      <c r="A2" t="s">
        <v>154</v>
      </c>
    </row>
    <row r="3" spans="1:12" x14ac:dyDescent="0.25">
      <c r="A3" s="25" t="s">
        <v>149</v>
      </c>
      <c r="B3" s="25">
        <v>13</v>
      </c>
      <c r="C3" s="6">
        <v>9.0909090909090912E-2</v>
      </c>
      <c r="D3">
        <f>B3/(96*C3)</f>
        <v>1.4895833333333335</v>
      </c>
    </row>
    <row r="4" spans="1:12" x14ac:dyDescent="0.25">
      <c r="A4" s="25" t="s">
        <v>150</v>
      </c>
      <c r="B4" s="25">
        <v>22</v>
      </c>
      <c r="C4" s="6">
        <v>0.18181818181818182</v>
      </c>
      <c r="D4">
        <f t="shared" ref="D4:D6" si="0">B4/(96*C4)</f>
        <v>1.2604166666666667</v>
      </c>
    </row>
    <row r="5" spans="1:12" x14ac:dyDescent="0.25">
      <c r="A5" s="25" t="s">
        <v>151</v>
      </c>
      <c r="B5" s="25">
        <v>29</v>
      </c>
      <c r="C5" s="6">
        <v>0.27272727272727271</v>
      </c>
      <c r="D5">
        <f t="shared" si="0"/>
        <v>1.1076388888888891</v>
      </c>
    </row>
    <row r="6" spans="1:12" x14ac:dyDescent="0.25">
      <c r="A6" s="25" t="s">
        <v>152</v>
      </c>
      <c r="B6" s="25">
        <v>42</v>
      </c>
      <c r="C6" s="6">
        <v>0.36363636363636365</v>
      </c>
      <c r="D6">
        <f t="shared" si="0"/>
        <v>1.203125</v>
      </c>
    </row>
    <row r="8" spans="1:12" x14ac:dyDescent="0.25">
      <c r="A8" s="25" t="s">
        <v>159</v>
      </c>
    </row>
    <row r="9" spans="1:12" x14ac:dyDescent="0.25">
      <c r="A9" s="25" t="s">
        <v>155</v>
      </c>
      <c r="B9" s="25">
        <v>10</v>
      </c>
      <c r="C9" s="6">
        <v>9.0909090909090912E-2</v>
      </c>
      <c r="D9">
        <f>B9/(96*C9)</f>
        <v>1.1458333333333335</v>
      </c>
      <c r="J9">
        <f>B9/(0.95*105)</f>
        <v>0.10025062656641603</v>
      </c>
    </row>
    <row r="10" spans="1:12" x14ac:dyDescent="0.25">
      <c r="A10" s="25" t="s">
        <v>156</v>
      </c>
      <c r="B10" s="25">
        <v>20</v>
      </c>
      <c r="C10" s="6">
        <v>0.18181818181818182</v>
      </c>
      <c r="D10">
        <f t="shared" ref="D10:D26" si="1">B10/(96*C10)</f>
        <v>1.1458333333333335</v>
      </c>
      <c r="J10">
        <f t="shared" ref="J10:J12" si="2">B10/(0.95*105)</f>
        <v>0.20050125313283207</v>
      </c>
    </row>
    <row r="11" spans="1:12" x14ac:dyDescent="0.25">
      <c r="A11" s="25" t="s">
        <v>157</v>
      </c>
      <c r="B11" s="25">
        <v>30</v>
      </c>
      <c r="C11" s="6">
        <v>0.27272727272727271</v>
      </c>
      <c r="D11">
        <f t="shared" si="1"/>
        <v>1.1458333333333335</v>
      </c>
      <c r="J11">
        <f t="shared" si="2"/>
        <v>0.3007518796992481</v>
      </c>
    </row>
    <row r="12" spans="1:12" x14ac:dyDescent="0.25">
      <c r="A12" s="25" t="s">
        <v>158</v>
      </c>
      <c r="B12" s="25">
        <v>40</v>
      </c>
      <c r="C12" s="6">
        <v>0.36363636363636365</v>
      </c>
      <c r="D12">
        <f t="shared" si="1"/>
        <v>1.1458333333333335</v>
      </c>
      <c r="J12">
        <f t="shared" si="2"/>
        <v>0.40100250626566414</v>
      </c>
    </row>
    <row r="14" spans="1:12" x14ac:dyDescent="0.25">
      <c r="A14" s="25" t="s">
        <v>108</v>
      </c>
      <c r="H14" t="s">
        <v>237</v>
      </c>
      <c r="K14" s="30" t="s">
        <v>238</v>
      </c>
      <c r="L14" s="30"/>
    </row>
    <row r="15" spans="1:12" x14ac:dyDescent="0.25">
      <c r="A15" s="25" t="s">
        <v>221</v>
      </c>
      <c r="B15" s="25">
        <v>5</v>
      </c>
      <c r="C15" s="2">
        <v>4.9950049950049945E-2</v>
      </c>
      <c r="D15">
        <f t="shared" si="1"/>
        <v>1.0427083333333336</v>
      </c>
      <c r="F15" s="25">
        <v>9</v>
      </c>
      <c r="H15">
        <f>F15/(182*C15)</f>
        <v>0.9900000000000001</v>
      </c>
      <c r="J15">
        <f>B15/(105*0.95)</f>
        <v>5.0125313283208017E-2</v>
      </c>
    </row>
    <row r="16" spans="1:12" x14ac:dyDescent="0.25">
      <c r="A16" s="25" t="s">
        <v>222</v>
      </c>
      <c r="B16" s="25">
        <v>10</v>
      </c>
      <c r="C16" s="2">
        <v>9.990009990009989E-2</v>
      </c>
      <c r="D16">
        <f t="shared" si="1"/>
        <v>1.0427083333333336</v>
      </c>
      <c r="F16" s="25">
        <v>19</v>
      </c>
      <c r="H16">
        <f t="shared" ref="H16:H19" si="3">F16/(182*C16)</f>
        <v>1.0450000000000002</v>
      </c>
      <c r="J16">
        <f t="shared" ref="J16:J19" si="4">B16/(105*0.95)</f>
        <v>0.10025062656641603</v>
      </c>
    </row>
    <row r="17" spans="1:10" x14ac:dyDescent="0.25">
      <c r="A17" s="25" t="s">
        <v>223</v>
      </c>
      <c r="B17" s="25">
        <v>15</v>
      </c>
      <c r="C17" s="2">
        <v>0.14985014985014983</v>
      </c>
      <c r="D17">
        <f t="shared" si="1"/>
        <v>1.0427083333333336</v>
      </c>
      <c r="F17" s="25">
        <v>28</v>
      </c>
      <c r="H17">
        <f t="shared" si="3"/>
        <v>1.0266666666666668</v>
      </c>
      <c r="J17">
        <f t="shared" si="4"/>
        <v>0.15037593984962405</v>
      </c>
    </row>
    <row r="18" spans="1:10" x14ac:dyDescent="0.25">
      <c r="A18" s="25" t="s">
        <v>224</v>
      </c>
      <c r="B18" s="25">
        <v>20</v>
      </c>
      <c r="C18" s="2">
        <v>0.19980019980019978</v>
      </c>
      <c r="D18">
        <f t="shared" si="1"/>
        <v>1.0427083333333336</v>
      </c>
      <c r="F18" s="25">
        <v>38</v>
      </c>
      <c r="H18">
        <f t="shared" si="3"/>
        <v>1.0450000000000002</v>
      </c>
      <c r="J18">
        <f t="shared" si="4"/>
        <v>0.20050125313283207</v>
      </c>
    </row>
    <row r="19" spans="1:10" x14ac:dyDescent="0.25">
      <c r="A19" s="25" t="s">
        <v>225</v>
      </c>
      <c r="B19" s="25">
        <v>30</v>
      </c>
      <c r="C19" s="2">
        <v>0.29970029970029965</v>
      </c>
      <c r="D19">
        <f t="shared" si="1"/>
        <v>1.0427083333333336</v>
      </c>
      <c r="F19" s="29">
        <v>57</v>
      </c>
      <c r="H19">
        <f t="shared" si="3"/>
        <v>1.0450000000000002</v>
      </c>
      <c r="J19">
        <f t="shared" si="4"/>
        <v>0.3007518796992481</v>
      </c>
    </row>
    <row r="22" spans="1:10" x14ac:dyDescent="0.25">
      <c r="A22" s="25" t="s">
        <v>131</v>
      </c>
    </row>
    <row r="23" spans="1:10" x14ac:dyDescent="0.25">
      <c r="A23" s="25" t="s">
        <v>226</v>
      </c>
      <c r="B23" s="25">
        <v>10</v>
      </c>
      <c r="C23" s="6">
        <v>7.575757575757576E-2</v>
      </c>
      <c r="D23">
        <f t="shared" si="1"/>
        <v>1.3749999999999998</v>
      </c>
    </row>
    <row r="24" spans="1:10" x14ac:dyDescent="0.25">
      <c r="A24" s="25" t="s">
        <v>227</v>
      </c>
      <c r="B24" s="25">
        <v>20</v>
      </c>
      <c r="C24" s="6">
        <v>0.15151515151515152</v>
      </c>
      <c r="D24">
        <f t="shared" si="1"/>
        <v>1.3749999999999998</v>
      </c>
    </row>
    <row r="25" spans="1:10" x14ac:dyDescent="0.25">
      <c r="A25" s="25" t="s">
        <v>228</v>
      </c>
      <c r="B25" s="25">
        <v>35</v>
      </c>
      <c r="C25" s="6">
        <v>0.26515151515151514</v>
      </c>
      <c r="D25">
        <f t="shared" si="1"/>
        <v>1.375</v>
      </c>
    </row>
    <row r="26" spans="1:10" x14ac:dyDescent="0.25">
      <c r="A26" s="29" t="s">
        <v>229</v>
      </c>
      <c r="B26" s="29">
        <v>50</v>
      </c>
      <c r="C26" s="6">
        <v>0.37878787878787878</v>
      </c>
      <c r="D26">
        <f t="shared" si="1"/>
        <v>1.3750000000000002</v>
      </c>
    </row>
    <row r="28" spans="1:10" x14ac:dyDescent="0.25">
      <c r="A28" s="25" t="s">
        <v>234</v>
      </c>
    </row>
    <row r="29" spans="1:10" x14ac:dyDescent="0.25">
      <c r="A29" s="25" t="s">
        <v>230</v>
      </c>
      <c r="B29" s="25">
        <v>5</v>
      </c>
    </row>
    <row r="30" spans="1:10" x14ac:dyDescent="0.25">
      <c r="A30" s="25" t="s">
        <v>231</v>
      </c>
      <c r="B30" s="25">
        <v>10</v>
      </c>
    </row>
    <row r="31" spans="1:10" x14ac:dyDescent="0.25">
      <c r="A31" s="25" t="s">
        <v>232</v>
      </c>
      <c r="B31" s="25">
        <v>15</v>
      </c>
    </row>
    <row r="32" spans="1:10" x14ac:dyDescent="0.25">
      <c r="A32" s="25" t="s">
        <v>233</v>
      </c>
      <c r="B32" s="25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H6" sqref="H6"/>
    </sheetView>
  </sheetViews>
  <sheetFormatPr defaultRowHeight="15" x14ac:dyDescent="0.25"/>
  <cols>
    <col min="1" max="2" width="10.5703125" bestFit="1" customWidth="1"/>
    <col min="3" max="3" width="14.85546875" bestFit="1" customWidth="1"/>
    <col min="4" max="4" width="27" customWidth="1"/>
    <col min="5" max="5" width="15.42578125" bestFit="1" customWidth="1"/>
    <col min="6" max="6" width="20" bestFit="1" customWidth="1"/>
    <col min="7" max="7" width="29.140625" bestFit="1" customWidth="1"/>
    <col min="257" max="258" width="10.5703125" bestFit="1" customWidth="1"/>
    <col min="259" max="259" width="14.85546875" bestFit="1" customWidth="1"/>
    <col min="260" max="260" width="27" customWidth="1"/>
    <col min="261" max="261" width="15.42578125" bestFit="1" customWidth="1"/>
    <col min="262" max="262" width="20" bestFit="1" customWidth="1"/>
    <col min="263" max="263" width="29.140625" bestFit="1" customWidth="1"/>
    <col min="513" max="514" width="10.5703125" bestFit="1" customWidth="1"/>
    <col min="515" max="515" width="14.85546875" bestFit="1" customWidth="1"/>
    <col min="516" max="516" width="27" customWidth="1"/>
    <col min="517" max="517" width="15.42578125" bestFit="1" customWidth="1"/>
    <col min="518" max="518" width="20" bestFit="1" customWidth="1"/>
    <col min="519" max="519" width="29.140625" bestFit="1" customWidth="1"/>
    <col min="769" max="770" width="10.5703125" bestFit="1" customWidth="1"/>
    <col min="771" max="771" width="14.85546875" bestFit="1" customWidth="1"/>
    <col min="772" max="772" width="27" customWidth="1"/>
    <col min="773" max="773" width="15.42578125" bestFit="1" customWidth="1"/>
    <col min="774" max="774" width="20" bestFit="1" customWidth="1"/>
    <col min="775" max="775" width="29.140625" bestFit="1" customWidth="1"/>
    <col min="1025" max="1026" width="10.5703125" bestFit="1" customWidth="1"/>
    <col min="1027" max="1027" width="14.85546875" bestFit="1" customWidth="1"/>
    <col min="1028" max="1028" width="27" customWidth="1"/>
    <col min="1029" max="1029" width="15.42578125" bestFit="1" customWidth="1"/>
    <col min="1030" max="1030" width="20" bestFit="1" customWidth="1"/>
    <col min="1031" max="1031" width="29.140625" bestFit="1" customWidth="1"/>
    <col min="1281" max="1282" width="10.5703125" bestFit="1" customWidth="1"/>
    <col min="1283" max="1283" width="14.85546875" bestFit="1" customWidth="1"/>
    <col min="1284" max="1284" width="27" customWidth="1"/>
    <col min="1285" max="1285" width="15.42578125" bestFit="1" customWidth="1"/>
    <col min="1286" max="1286" width="20" bestFit="1" customWidth="1"/>
    <col min="1287" max="1287" width="29.140625" bestFit="1" customWidth="1"/>
    <col min="1537" max="1538" width="10.5703125" bestFit="1" customWidth="1"/>
    <col min="1539" max="1539" width="14.85546875" bestFit="1" customWidth="1"/>
    <col min="1540" max="1540" width="27" customWidth="1"/>
    <col min="1541" max="1541" width="15.42578125" bestFit="1" customWidth="1"/>
    <col min="1542" max="1542" width="20" bestFit="1" customWidth="1"/>
    <col min="1543" max="1543" width="29.140625" bestFit="1" customWidth="1"/>
    <col min="1793" max="1794" width="10.5703125" bestFit="1" customWidth="1"/>
    <col min="1795" max="1795" width="14.85546875" bestFit="1" customWidth="1"/>
    <col min="1796" max="1796" width="27" customWidth="1"/>
    <col min="1797" max="1797" width="15.42578125" bestFit="1" customWidth="1"/>
    <col min="1798" max="1798" width="20" bestFit="1" customWidth="1"/>
    <col min="1799" max="1799" width="29.140625" bestFit="1" customWidth="1"/>
    <col min="2049" max="2050" width="10.5703125" bestFit="1" customWidth="1"/>
    <col min="2051" max="2051" width="14.85546875" bestFit="1" customWidth="1"/>
    <col min="2052" max="2052" width="27" customWidth="1"/>
    <col min="2053" max="2053" width="15.42578125" bestFit="1" customWidth="1"/>
    <col min="2054" max="2054" width="20" bestFit="1" customWidth="1"/>
    <col min="2055" max="2055" width="29.140625" bestFit="1" customWidth="1"/>
    <col min="2305" max="2306" width="10.5703125" bestFit="1" customWidth="1"/>
    <col min="2307" max="2307" width="14.85546875" bestFit="1" customWidth="1"/>
    <col min="2308" max="2308" width="27" customWidth="1"/>
    <col min="2309" max="2309" width="15.42578125" bestFit="1" customWidth="1"/>
    <col min="2310" max="2310" width="20" bestFit="1" customWidth="1"/>
    <col min="2311" max="2311" width="29.140625" bestFit="1" customWidth="1"/>
    <col min="2561" max="2562" width="10.5703125" bestFit="1" customWidth="1"/>
    <col min="2563" max="2563" width="14.85546875" bestFit="1" customWidth="1"/>
    <col min="2564" max="2564" width="27" customWidth="1"/>
    <col min="2565" max="2565" width="15.42578125" bestFit="1" customWidth="1"/>
    <col min="2566" max="2566" width="20" bestFit="1" customWidth="1"/>
    <col min="2567" max="2567" width="29.140625" bestFit="1" customWidth="1"/>
    <col min="2817" max="2818" width="10.5703125" bestFit="1" customWidth="1"/>
    <col min="2819" max="2819" width="14.85546875" bestFit="1" customWidth="1"/>
    <col min="2820" max="2820" width="27" customWidth="1"/>
    <col min="2821" max="2821" width="15.42578125" bestFit="1" customWidth="1"/>
    <col min="2822" max="2822" width="20" bestFit="1" customWidth="1"/>
    <col min="2823" max="2823" width="29.140625" bestFit="1" customWidth="1"/>
    <col min="3073" max="3074" width="10.5703125" bestFit="1" customWidth="1"/>
    <col min="3075" max="3075" width="14.85546875" bestFit="1" customWidth="1"/>
    <col min="3076" max="3076" width="27" customWidth="1"/>
    <col min="3077" max="3077" width="15.42578125" bestFit="1" customWidth="1"/>
    <col min="3078" max="3078" width="20" bestFit="1" customWidth="1"/>
    <col min="3079" max="3079" width="29.140625" bestFit="1" customWidth="1"/>
    <col min="3329" max="3330" width="10.5703125" bestFit="1" customWidth="1"/>
    <col min="3331" max="3331" width="14.85546875" bestFit="1" customWidth="1"/>
    <col min="3332" max="3332" width="27" customWidth="1"/>
    <col min="3333" max="3333" width="15.42578125" bestFit="1" customWidth="1"/>
    <col min="3334" max="3334" width="20" bestFit="1" customWidth="1"/>
    <col min="3335" max="3335" width="29.140625" bestFit="1" customWidth="1"/>
    <col min="3585" max="3586" width="10.5703125" bestFit="1" customWidth="1"/>
    <col min="3587" max="3587" width="14.85546875" bestFit="1" customWidth="1"/>
    <col min="3588" max="3588" width="27" customWidth="1"/>
    <col min="3589" max="3589" width="15.42578125" bestFit="1" customWidth="1"/>
    <col min="3590" max="3590" width="20" bestFit="1" customWidth="1"/>
    <col min="3591" max="3591" width="29.140625" bestFit="1" customWidth="1"/>
    <col min="3841" max="3842" width="10.5703125" bestFit="1" customWidth="1"/>
    <col min="3843" max="3843" width="14.85546875" bestFit="1" customWidth="1"/>
    <col min="3844" max="3844" width="27" customWidth="1"/>
    <col min="3845" max="3845" width="15.42578125" bestFit="1" customWidth="1"/>
    <col min="3846" max="3846" width="20" bestFit="1" customWidth="1"/>
    <col min="3847" max="3847" width="29.140625" bestFit="1" customWidth="1"/>
    <col min="4097" max="4098" width="10.5703125" bestFit="1" customWidth="1"/>
    <col min="4099" max="4099" width="14.85546875" bestFit="1" customWidth="1"/>
    <col min="4100" max="4100" width="27" customWidth="1"/>
    <col min="4101" max="4101" width="15.42578125" bestFit="1" customWidth="1"/>
    <col min="4102" max="4102" width="20" bestFit="1" customWidth="1"/>
    <col min="4103" max="4103" width="29.140625" bestFit="1" customWidth="1"/>
    <col min="4353" max="4354" width="10.5703125" bestFit="1" customWidth="1"/>
    <col min="4355" max="4355" width="14.85546875" bestFit="1" customWidth="1"/>
    <col min="4356" max="4356" width="27" customWidth="1"/>
    <col min="4357" max="4357" width="15.42578125" bestFit="1" customWidth="1"/>
    <col min="4358" max="4358" width="20" bestFit="1" customWidth="1"/>
    <col min="4359" max="4359" width="29.140625" bestFit="1" customWidth="1"/>
    <col min="4609" max="4610" width="10.5703125" bestFit="1" customWidth="1"/>
    <col min="4611" max="4611" width="14.85546875" bestFit="1" customWidth="1"/>
    <col min="4612" max="4612" width="27" customWidth="1"/>
    <col min="4613" max="4613" width="15.42578125" bestFit="1" customWidth="1"/>
    <col min="4614" max="4614" width="20" bestFit="1" customWidth="1"/>
    <col min="4615" max="4615" width="29.140625" bestFit="1" customWidth="1"/>
    <col min="4865" max="4866" width="10.5703125" bestFit="1" customWidth="1"/>
    <col min="4867" max="4867" width="14.85546875" bestFit="1" customWidth="1"/>
    <col min="4868" max="4868" width="27" customWidth="1"/>
    <col min="4869" max="4869" width="15.42578125" bestFit="1" customWidth="1"/>
    <col min="4870" max="4870" width="20" bestFit="1" customWidth="1"/>
    <col min="4871" max="4871" width="29.140625" bestFit="1" customWidth="1"/>
    <col min="5121" max="5122" width="10.5703125" bestFit="1" customWidth="1"/>
    <col min="5123" max="5123" width="14.85546875" bestFit="1" customWidth="1"/>
    <col min="5124" max="5124" width="27" customWidth="1"/>
    <col min="5125" max="5125" width="15.42578125" bestFit="1" customWidth="1"/>
    <col min="5126" max="5126" width="20" bestFit="1" customWidth="1"/>
    <col min="5127" max="5127" width="29.140625" bestFit="1" customWidth="1"/>
    <col min="5377" max="5378" width="10.5703125" bestFit="1" customWidth="1"/>
    <col min="5379" max="5379" width="14.85546875" bestFit="1" customWidth="1"/>
    <col min="5380" max="5380" width="27" customWidth="1"/>
    <col min="5381" max="5381" width="15.42578125" bestFit="1" customWidth="1"/>
    <col min="5382" max="5382" width="20" bestFit="1" customWidth="1"/>
    <col min="5383" max="5383" width="29.140625" bestFit="1" customWidth="1"/>
    <col min="5633" max="5634" width="10.5703125" bestFit="1" customWidth="1"/>
    <col min="5635" max="5635" width="14.85546875" bestFit="1" customWidth="1"/>
    <col min="5636" max="5636" width="27" customWidth="1"/>
    <col min="5637" max="5637" width="15.42578125" bestFit="1" customWidth="1"/>
    <col min="5638" max="5638" width="20" bestFit="1" customWidth="1"/>
    <col min="5639" max="5639" width="29.140625" bestFit="1" customWidth="1"/>
    <col min="5889" max="5890" width="10.5703125" bestFit="1" customWidth="1"/>
    <col min="5891" max="5891" width="14.85546875" bestFit="1" customWidth="1"/>
    <col min="5892" max="5892" width="27" customWidth="1"/>
    <col min="5893" max="5893" width="15.42578125" bestFit="1" customWidth="1"/>
    <col min="5894" max="5894" width="20" bestFit="1" customWidth="1"/>
    <col min="5895" max="5895" width="29.140625" bestFit="1" customWidth="1"/>
    <col min="6145" max="6146" width="10.5703125" bestFit="1" customWidth="1"/>
    <col min="6147" max="6147" width="14.85546875" bestFit="1" customWidth="1"/>
    <col min="6148" max="6148" width="27" customWidth="1"/>
    <col min="6149" max="6149" width="15.42578125" bestFit="1" customWidth="1"/>
    <col min="6150" max="6150" width="20" bestFit="1" customWidth="1"/>
    <col min="6151" max="6151" width="29.140625" bestFit="1" customWidth="1"/>
    <col min="6401" max="6402" width="10.5703125" bestFit="1" customWidth="1"/>
    <col min="6403" max="6403" width="14.85546875" bestFit="1" customWidth="1"/>
    <col min="6404" max="6404" width="27" customWidth="1"/>
    <col min="6405" max="6405" width="15.42578125" bestFit="1" customWidth="1"/>
    <col min="6406" max="6406" width="20" bestFit="1" customWidth="1"/>
    <col min="6407" max="6407" width="29.140625" bestFit="1" customWidth="1"/>
    <col min="6657" max="6658" width="10.5703125" bestFit="1" customWidth="1"/>
    <col min="6659" max="6659" width="14.85546875" bestFit="1" customWidth="1"/>
    <col min="6660" max="6660" width="27" customWidth="1"/>
    <col min="6661" max="6661" width="15.42578125" bestFit="1" customWidth="1"/>
    <col min="6662" max="6662" width="20" bestFit="1" customWidth="1"/>
    <col min="6663" max="6663" width="29.140625" bestFit="1" customWidth="1"/>
    <col min="6913" max="6914" width="10.5703125" bestFit="1" customWidth="1"/>
    <col min="6915" max="6915" width="14.85546875" bestFit="1" customWidth="1"/>
    <col min="6916" max="6916" width="27" customWidth="1"/>
    <col min="6917" max="6917" width="15.42578125" bestFit="1" customWidth="1"/>
    <col min="6918" max="6918" width="20" bestFit="1" customWidth="1"/>
    <col min="6919" max="6919" width="29.140625" bestFit="1" customWidth="1"/>
    <col min="7169" max="7170" width="10.5703125" bestFit="1" customWidth="1"/>
    <col min="7171" max="7171" width="14.85546875" bestFit="1" customWidth="1"/>
    <col min="7172" max="7172" width="27" customWidth="1"/>
    <col min="7173" max="7173" width="15.42578125" bestFit="1" customWidth="1"/>
    <col min="7174" max="7174" width="20" bestFit="1" customWidth="1"/>
    <col min="7175" max="7175" width="29.140625" bestFit="1" customWidth="1"/>
    <col min="7425" max="7426" width="10.5703125" bestFit="1" customWidth="1"/>
    <col min="7427" max="7427" width="14.85546875" bestFit="1" customWidth="1"/>
    <col min="7428" max="7428" width="27" customWidth="1"/>
    <col min="7429" max="7429" width="15.42578125" bestFit="1" customWidth="1"/>
    <col min="7430" max="7430" width="20" bestFit="1" customWidth="1"/>
    <col min="7431" max="7431" width="29.140625" bestFit="1" customWidth="1"/>
    <col min="7681" max="7682" width="10.5703125" bestFit="1" customWidth="1"/>
    <col min="7683" max="7683" width="14.85546875" bestFit="1" customWidth="1"/>
    <col min="7684" max="7684" width="27" customWidth="1"/>
    <col min="7685" max="7685" width="15.42578125" bestFit="1" customWidth="1"/>
    <col min="7686" max="7686" width="20" bestFit="1" customWidth="1"/>
    <col min="7687" max="7687" width="29.140625" bestFit="1" customWidth="1"/>
    <col min="7937" max="7938" width="10.5703125" bestFit="1" customWidth="1"/>
    <col min="7939" max="7939" width="14.85546875" bestFit="1" customWidth="1"/>
    <col min="7940" max="7940" width="27" customWidth="1"/>
    <col min="7941" max="7941" width="15.42578125" bestFit="1" customWidth="1"/>
    <col min="7942" max="7942" width="20" bestFit="1" customWidth="1"/>
    <col min="7943" max="7943" width="29.140625" bestFit="1" customWidth="1"/>
    <col min="8193" max="8194" width="10.5703125" bestFit="1" customWidth="1"/>
    <col min="8195" max="8195" width="14.85546875" bestFit="1" customWidth="1"/>
    <col min="8196" max="8196" width="27" customWidth="1"/>
    <col min="8197" max="8197" width="15.42578125" bestFit="1" customWidth="1"/>
    <col min="8198" max="8198" width="20" bestFit="1" customWidth="1"/>
    <col min="8199" max="8199" width="29.140625" bestFit="1" customWidth="1"/>
    <col min="8449" max="8450" width="10.5703125" bestFit="1" customWidth="1"/>
    <col min="8451" max="8451" width="14.85546875" bestFit="1" customWidth="1"/>
    <col min="8452" max="8452" width="27" customWidth="1"/>
    <col min="8453" max="8453" width="15.42578125" bestFit="1" customWidth="1"/>
    <col min="8454" max="8454" width="20" bestFit="1" customWidth="1"/>
    <col min="8455" max="8455" width="29.140625" bestFit="1" customWidth="1"/>
    <col min="8705" max="8706" width="10.5703125" bestFit="1" customWidth="1"/>
    <col min="8707" max="8707" width="14.85546875" bestFit="1" customWidth="1"/>
    <col min="8708" max="8708" width="27" customWidth="1"/>
    <col min="8709" max="8709" width="15.42578125" bestFit="1" customWidth="1"/>
    <col min="8710" max="8710" width="20" bestFit="1" customWidth="1"/>
    <col min="8711" max="8711" width="29.140625" bestFit="1" customWidth="1"/>
    <col min="8961" max="8962" width="10.5703125" bestFit="1" customWidth="1"/>
    <col min="8963" max="8963" width="14.85546875" bestFit="1" customWidth="1"/>
    <col min="8964" max="8964" width="27" customWidth="1"/>
    <col min="8965" max="8965" width="15.42578125" bestFit="1" customWidth="1"/>
    <col min="8966" max="8966" width="20" bestFit="1" customWidth="1"/>
    <col min="8967" max="8967" width="29.140625" bestFit="1" customWidth="1"/>
    <col min="9217" max="9218" width="10.5703125" bestFit="1" customWidth="1"/>
    <col min="9219" max="9219" width="14.85546875" bestFit="1" customWidth="1"/>
    <col min="9220" max="9220" width="27" customWidth="1"/>
    <col min="9221" max="9221" width="15.42578125" bestFit="1" customWidth="1"/>
    <col min="9222" max="9222" width="20" bestFit="1" customWidth="1"/>
    <col min="9223" max="9223" width="29.140625" bestFit="1" customWidth="1"/>
    <col min="9473" max="9474" width="10.5703125" bestFit="1" customWidth="1"/>
    <col min="9475" max="9475" width="14.85546875" bestFit="1" customWidth="1"/>
    <col min="9476" max="9476" width="27" customWidth="1"/>
    <col min="9477" max="9477" width="15.42578125" bestFit="1" customWidth="1"/>
    <col min="9478" max="9478" width="20" bestFit="1" customWidth="1"/>
    <col min="9479" max="9479" width="29.140625" bestFit="1" customWidth="1"/>
    <col min="9729" max="9730" width="10.5703125" bestFit="1" customWidth="1"/>
    <col min="9731" max="9731" width="14.85546875" bestFit="1" customWidth="1"/>
    <col min="9732" max="9732" width="27" customWidth="1"/>
    <col min="9733" max="9733" width="15.42578125" bestFit="1" customWidth="1"/>
    <col min="9734" max="9734" width="20" bestFit="1" customWidth="1"/>
    <col min="9735" max="9735" width="29.140625" bestFit="1" customWidth="1"/>
    <col min="9985" max="9986" width="10.5703125" bestFit="1" customWidth="1"/>
    <col min="9987" max="9987" width="14.85546875" bestFit="1" customWidth="1"/>
    <col min="9988" max="9988" width="27" customWidth="1"/>
    <col min="9989" max="9989" width="15.42578125" bestFit="1" customWidth="1"/>
    <col min="9990" max="9990" width="20" bestFit="1" customWidth="1"/>
    <col min="9991" max="9991" width="29.140625" bestFit="1" customWidth="1"/>
    <col min="10241" max="10242" width="10.5703125" bestFit="1" customWidth="1"/>
    <col min="10243" max="10243" width="14.85546875" bestFit="1" customWidth="1"/>
    <col min="10244" max="10244" width="27" customWidth="1"/>
    <col min="10245" max="10245" width="15.42578125" bestFit="1" customWidth="1"/>
    <col min="10246" max="10246" width="20" bestFit="1" customWidth="1"/>
    <col min="10247" max="10247" width="29.140625" bestFit="1" customWidth="1"/>
    <col min="10497" max="10498" width="10.5703125" bestFit="1" customWidth="1"/>
    <col min="10499" max="10499" width="14.85546875" bestFit="1" customWidth="1"/>
    <col min="10500" max="10500" width="27" customWidth="1"/>
    <col min="10501" max="10501" width="15.42578125" bestFit="1" customWidth="1"/>
    <col min="10502" max="10502" width="20" bestFit="1" customWidth="1"/>
    <col min="10503" max="10503" width="29.140625" bestFit="1" customWidth="1"/>
    <col min="10753" max="10754" width="10.5703125" bestFit="1" customWidth="1"/>
    <col min="10755" max="10755" width="14.85546875" bestFit="1" customWidth="1"/>
    <col min="10756" max="10756" width="27" customWidth="1"/>
    <col min="10757" max="10757" width="15.42578125" bestFit="1" customWidth="1"/>
    <col min="10758" max="10758" width="20" bestFit="1" customWidth="1"/>
    <col min="10759" max="10759" width="29.140625" bestFit="1" customWidth="1"/>
    <col min="11009" max="11010" width="10.5703125" bestFit="1" customWidth="1"/>
    <col min="11011" max="11011" width="14.85546875" bestFit="1" customWidth="1"/>
    <col min="11012" max="11012" width="27" customWidth="1"/>
    <col min="11013" max="11013" width="15.42578125" bestFit="1" customWidth="1"/>
    <col min="11014" max="11014" width="20" bestFit="1" customWidth="1"/>
    <col min="11015" max="11015" width="29.140625" bestFit="1" customWidth="1"/>
    <col min="11265" max="11266" width="10.5703125" bestFit="1" customWidth="1"/>
    <col min="11267" max="11267" width="14.85546875" bestFit="1" customWidth="1"/>
    <col min="11268" max="11268" width="27" customWidth="1"/>
    <col min="11269" max="11269" width="15.42578125" bestFit="1" customWidth="1"/>
    <col min="11270" max="11270" width="20" bestFit="1" customWidth="1"/>
    <col min="11271" max="11271" width="29.140625" bestFit="1" customWidth="1"/>
    <col min="11521" max="11522" width="10.5703125" bestFit="1" customWidth="1"/>
    <col min="11523" max="11523" width="14.85546875" bestFit="1" customWidth="1"/>
    <col min="11524" max="11524" width="27" customWidth="1"/>
    <col min="11525" max="11525" width="15.42578125" bestFit="1" customWidth="1"/>
    <col min="11526" max="11526" width="20" bestFit="1" customWidth="1"/>
    <col min="11527" max="11527" width="29.140625" bestFit="1" customWidth="1"/>
    <col min="11777" max="11778" width="10.5703125" bestFit="1" customWidth="1"/>
    <col min="11779" max="11779" width="14.85546875" bestFit="1" customWidth="1"/>
    <col min="11780" max="11780" width="27" customWidth="1"/>
    <col min="11781" max="11781" width="15.42578125" bestFit="1" customWidth="1"/>
    <col min="11782" max="11782" width="20" bestFit="1" customWidth="1"/>
    <col min="11783" max="11783" width="29.140625" bestFit="1" customWidth="1"/>
    <col min="12033" max="12034" width="10.5703125" bestFit="1" customWidth="1"/>
    <col min="12035" max="12035" width="14.85546875" bestFit="1" customWidth="1"/>
    <col min="12036" max="12036" width="27" customWidth="1"/>
    <col min="12037" max="12037" width="15.42578125" bestFit="1" customWidth="1"/>
    <col min="12038" max="12038" width="20" bestFit="1" customWidth="1"/>
    <col min="12039" max="12039" width="29.140625" bestFit="1" customWidth="1"/>
    <col min="12289" max="12290" width="10.5703125" bestFit="1" customWidth="1"/>
    <col min="12291" max="12291" width="14.85546875" bestFit="1" customWidth="1"/>
    <col min="12292" max="12292" width="27" customWidth="1"/>
    <col min="12293" max="12293" width="15.42578125" bestFit="1" customWidth="1"/>
    <col min="12294" max="12294" width="20" bestFit="1" customWidth="1"/>
    <col min="12295" max="12295" width="29.140625" bestFit="1" customWidth="1"/>
    <col min="12545" max="12546" width="10.5703125" bestFit="1" customWidth="1"/>
    <col min="12547" max="12547" width="14.85546875" bestFit="1" customWidth="1"/>
    <col min="12548" max="12548" width="27" customWidth="1"/>
    <col min="12549" max="12549" width="15.42578125" bestFit="1" customWidth="1"/>
    <col min="12550" max="12550" width="20" bestFit="1" customWidth="1"/>
    <col min="12551" max="12551" width="29.140625" bestFit="1" customWidth="1"/>
    <col min="12801" max="12802" width="10.5703125" bestFit="1" customWidth="1"/>
    <col min="12803" max="12803" width="14.85546875" bestFit="1" customWidth="1"/>
    <col min="12804" max="12804" width="27" customWidth="1"/>
    <col min="12805" max="12805" width="15.42578125" bestFit="1" customWidth="1"/>
    <col min="12806" max="12806" width="20" bestFit="1" customWidth="1"/>
    <col min="12807" max="12807" width="29.140625" bestFit="1" customWidth="1"/>
    <col min="13057" max="13058" width="10.5703125" bestFit="1" customWidth="1"/>
    <col min="13059" max="13059" width="14.85546875" bestFit="1" customWidth="1"/>
    <col min="13060" max="13060" width="27" customWidth="1"/>
    <col min="13061" max="13061" width="15.42578125" bestFit="1" customWidth="1"/>
    <col min="13062" max="13062" width="20" bestFit="1" customWidth="1"/>
    <col min="13063" max="13063" width="29.140625" bestFit="1" customWidth="1"/>
    <col min="13313" max="13314" width="10.5703125" bestFit="1" customWidth="1"/>
    <col min="13315" max="13315" width="14.85546875" bestFit="1" customWidth="1"/>
    <col min="13316" max="13316" width="27" customWidth="1"/>
    <col min="13317" max="13317" width="15.42578125" bestFit="1" customWidth="1"/>
    <col min="13318" max="13318" width="20" bestFit="1" customWidth="1"/>
    <col min="13319" max="13319" width="29.140625" bestFit="1" customWidth="1"/>
    <col min="13569" max="13570" width="10.5703125" bestFit="1" customWidth="1"/>
    <col min="13571" max="13571" width="14.85546875" bestFit="1" customWidth="1"/>
    <col min="13572" max="13572" width="27" customWidth="1"/>
    <col min="13573" max="13573" width="15.42578125" bestFit="1" customWidth="1"/>
    <col min="13574" max="13574" width="20" bestFit="1" customWidth="1"/>
    <col min="13575" max="13575" width="29.140625" bestFit="1" customWidth="1"/>
    <col min="13825" max="13826" width="10.5703125" bestFit="1" customWidth="1"/>
    <col min="13827" max="13827" width="14.85546875" bestFit="1" customWidth="1"/>
    <col min="13828" max="13828" width="27" customWidth="1"/>
    <col min="13829" max="13829" width="15.42578125" bestFit="1" customWidth="1"/>
    <col min="13830" max="13830" width="20" bestFit="1" customWidth="1"/>
    <col min="13831" max="13831" width="29.140625" bestFit="1" customWidth="1"/>
    <col min="14081" max="14082" width="10.5703125" bestFit="1" customWidth="1"/>
    <col min="14083" max="14083" width="14.85546875" bestFit="1" customWidth="1"/>
    <col min="14084" max="14084" width="27" customWidth="1"/>
    <col min="14085" max="14085" width="15.42578125" bestFit="1" customWidth="1"/>
    <col min="14086" max="14086" width="20" bestFit="1" customWidth="1"/>
    <col min="14087" max="14087" width="29.140625" bestFit="1" customWidth="1"/>
    <col min="14337" max="14338" width="10.5703125" bestFit="1" customWidth="1"/>
    <col min="14339" max="14339" width="14.85546875" bestFit="1" customWidth="1"/>
    <col min="14340" max="14340" width="27" customWidth="1"/>
    <col min="14341" max="14341" width="15.42578125" bestFit="1" customWidth="1"/>
    <col min="14342" max="14342" width="20" bestFit="1" customWidth="1"/>
    <col min="14343" max="14343" width="29.140625" bestFit="1" customWidth="1"/>
    <col min="14593" max="14594" width="10.5703125" bestFit="1" customWidth="1"/>
    <col min="14595" max="14595" width="14.85546875" bestFit="1" customWidth="1"/>
    <col min="14596" max="14596" width="27" customWidth="1"/>
    <col min="14597" max="14597" width="15.42578125" bestFit="1" customWidth="1"/>
    <col min="14598" max="14598" width="20" bestFit="1" customWidth="1"/>
    <col min="14599" max="14599" width="29.140625" bestFit="1" customWidth="1"/>
    <col min="14849" max="14850" width="10.5703125" bestFit="1" customWidth="1"/>
    <col min="14851" max="14851" width="14.85546875" bestFit="1" customWidth="1"/>
    <col min="14852" max="14852" width="27" customWidth="1"/>
    <col min="14853" max="14853" width="15.42578125" bestFit="1" customWidth="1"/>
    <col min="14854" max="14854" width="20" bestFit="1" customWidth="1"/>
    <col min="14855" max="14855" width="29.140625" bestFit="1" customWidth="1"/>
    <col min="15105" max="15106" width="10.5703125" bestFit="1" customWidth="1"/>
    <col min="15107" max="15107" width="14.85546875" bestFit="1" customWidth="1"/>
    <col min="15108" max="15108" width="27" customWidth="1"/>
    <col min="15109" max="15109" width="15.42578125" bestFit="1" customWidth="1"/>
    <col min="15110" max="15110" width="20" bestFit="1" customWidth="1"/>
    <col min="15111" max="15111" width="29.140625" bestFit="1" customWidth="1"/>
    <col min="15361" max="15362" width="10.5703125" bestFit="1" customWidth="1"/>
    <col min="15363" max="15363" width="14.85546875" bestFit="1" customWidth="1"/>
    <col min="15364" max="15364" width="27" customWidth="1"/>
    <col min="15365" max="15365" width="15.42578125" bestFit="1" customWidth="1"/>
    <col min="15366" max="15366" width="20" bestFit="1" customWidth="1"/>
    <col min="15367" max="15367" width="29.140625" bestFit="1" customWidth="1"/>
    <col min="15617" max="15618" width="10.5703125" bestFit="1" customWidth="1"/>
    <col min="15619" max="15619" width="14.85546875" bestFit="1" customWidth="1"/>
    <col min="15620" max="15620" width="27" customWidth="1"/>
    <col min="15621" max="15621" width="15.42578125" bestFit="1" customWidth="1"/>
    <col min="15622" max="15622" width="20" bestFit="1" customWidth="1"/>
    <col min="15623" max="15623" width="29.140625" bestFit="1" customWidth="1"/>
    <col min="15873" max="15874" width="10.5703125" bestFit="1" customWidth="1"/>
    <col min="15875" max="15875" width="14.85546875" bestFit="1" customWidth="1"/>
    <col min="15876" max="15876" width="27" customWidth="1"/>
    <col min="15877" max="15877" width="15.42578125" bestFit="1" customWidth="1"/>
    <col min="15878" max="15878" width="20" bestFit="1" customWidth="1"/>
    <col min="15879" max="15879" width="29.140625" bestFit="1" customWidth="1"/>
    <col min="16129" max="16130" width="10.5703125" bestFit="1" customWidth="1"/>
    <col min="16131" max="16131" width="14.85546875" bestFit="1" customWidth="1"/>
    <col min="16132" max="16132" width="27" customWidth="1"/>
    <col min="16133" max="16133" width="15.42578125" bestFit="1" customWidth="1"/>
    <col min="16134" max="16134" width="20" bestFit="1" customWidth="1"/>
    <col min="16135" max="16135" width="29.140625" bestFit="1" customWidth="1"/>
  </cols>
  <sheetData>
    <row r="1" spans="1:7" x14ac:dyDescent="0.25">
      <c r="A1" s="13" t="s">
        <v>36</v>
      </c>
      <c r="B1" s="13" t="s">
        <v>37</v>
      </c>
      <c r="C1" s="13" t="s">
        <v>38</v>
      </c>
      <c r="D1" s="13" t="s">
        <v>39</v>
      </c>
      <c r="E1" s="13" t="s">
        <v>40</v>
      </c>
      <c r="F1" s="26" t="s">
        <v>160</v>
      </c>
      <c r="G1" s="26" t="s">
        <v>161</v>
      </c>
    </row>
    <row r="2" spans="1:7" x14ac:dyDescent="0.25">
      <c r="A2" s="17" t="s">
        <v>162</v>
      </c>
      <c r="B2" s="27">
        <v>0.32</v>
      </c>
      <c r="C2" s="17" t="s">
        <v>42</v>
      </c>
      <c r="D2" s="28" t="s">
        <v>163</v>
      </c>
      <c r="E2" s="17" t="s">
        <v>44</v>
      </c>
      <c r="F2">
        <f>2/0.85</f>
        <v>2.3529411764705883</v>
      </c>
      <c r="G2">
        <f>F2/81</f>
        <v>2.9048656499636893E-2</v>
      </c>
    </row>
    <row r="3" spans="1:7" x14ac:dyDescent="0.25">
      <c r="A3" s="17" t="s">
        <v>164</v>
      </c>
      <c r="B3" s="27">
        <v>0.42</v>
      </c>
      <c r="C3" s="17" t="s">
        <v>46</v>
      </c>
      <c r="D3" s="28" t="s">
        <v>163</v>
      </c>
      <c r="E3" s="17" t="s">
        <v>44</v>
      </c>
      <c r="F3">
        <f>4/0.85</f>
        <v>4.7058823529411766</v>
      </c>
      <c r="G3">
        <f t="shared" ref="G3:G29" si="0">F3/81</f>
        <v>5.8097312999273787E-2</v>
      </c>
    </row>
    <row r="4" spans="1:7" x14ac:dyDescent="0.25">
      <c r="A4" s="17" t="s">
        <v>165</v>
      </c>
      <c r="B4" s="27">
        <v>0.53</v>
      </c>
      <c r="C4" s="17" t="s">
        <v>48</v>
      </c>
      <c r="D4" s="28" t="s">
        <v>163</v>
      </c>
      <c r="E4" s="17" t="s">
        <v>44</v>
      </c>
      <c r="F4">
        <f>8/0.85</f>
        <v>9.4117647058823533</v>
      </c>
      <c r="G4">
        <f t="shared" si="0"/>
        <v>0.11619462599854757</v>
      </c>
    </row>
    <row r="5" spans="1:7" x14ac:dyDescent="0.25">
      <c r="A5" s="17" t="s">
        <v>166</v>
      </c>
      <c r="B5" s="27">
        <v>0.63</v>
      </c>
      <c r="C5" s="17" t="s">
        <v>50</v>
      </c>
      <c r="D5" s="28" t="s">
        <v>163</v>
      </c>
      <c r="E5" s="17" t="s">
        <v>44</v>
      </c>
      <c r="F5">
        <f>12/0.85</f>
        <v>14.117647058823529</v>
      </c>
      <c r="G5">
        <f t="shared" si="0"/>
        <v>0.17429193899782133</v>
      </c>
    </row>
    <row r="6" spans="1:7" ht="26.25" x14ac:dyDescent="0.25">
      <c r="A6" s="17" t="s">
        <v>167</v>
      </c>
      <c r="B6" s="27">
        <v>0.08</v>
      </c>
      <c r="C6" s="17" t="s">
        <v>52</v>
      </c>
      <c r="D6" s="28" t="s">
        <v>53</v>
      </c>
      <c r="E6" s="17" t="s">
        <v>44</v>
      </c>
      <c r="F6">
        <f>5/1.3</f>
        <v>3.8461538461538458</v>
      </c>
      <c r="G6">
        <f t="shared" si="0"/>
        <v>4.7483380816714146E-2</v>
      </c>
    </row>
    <row r="7" spans="1:7" ht="26.25" x14ac:dyDescent="0.25">
      <c r="A7" s="17" t="s">
        <v>168</v>
      </c>
      <c r="B7" s="27">
        <v>0.17</v>
      </c>
      <c r="C7" s="17" t="s">
        <v>55</v>
      </c>
      <c r="D7" s="28" t="s">
        <v>53</v>
      </c>
      <c r="E7" s="17" t="s">
        <v>44</v>
      </c>
      <c r="F7">
        <f>10/1.3</f>
        <v>7.6923076923076916</v>
      </c>
      <c r="G7">
        <f t="shared" si="0"/>
        <v>9.4966761633428293E-2</v>
      </c>
    </row>
    <row r="8" spans="1:7" ht="26.25" x14ac:dyDescent="0.25">
      <c r="A8" s="17" t="s">
        <v>169</v>
      </c>
      <c r="B8" s="27">
        <v>0.21</v>
      </c>
      <c r="C8" s="17" t="s">
        <v>61</v>
      </c>
      <c r="D8" s="28" t="s">
        <v>53</v>
      </c>
      <c r="E8" s="17" t="s">
        <v>44</v>
      </c>
      <c r="F8">
        <f>20/1.3</f>
        <v>15.384615384615383</v>
      </c>
      <c r="G8">
        <f t="shared" si="0"/>
        <v>0.18993352326685659</v>
      </c>
    </row>
    <row r="9" spans="1:7" ht="26.25" x14ac:dyDescent="0.25">
      <c r="A9" s="17" t="s">
        <v>170</v>
      </c>
      <c r="B9" s="27">
        <v>0.42</v>
      </c>
      <c r="C9" s="17" t="s">
        <v>63</v>
      </c>
      <c r="D9" s="28" t="s">
        <v>53</v>
      </c>
      <c r="E9" s="17" t="s">
        <v>44</v>
      </c>
      <c r="F9">
        <f>30/1.3</f>
        <v>23.076923076923077</v>
      </c>
      <c r="G9">
        <f t="shared" si="0"/>
        <v>0.28490028490028491</v>
      </c>
    </row>
    <row r="10" spans="1:7" ht="26.25" x14ac:dyDescent="0.25">
      <c r="A10" s="17" t="s">
        <v>171</v>
      </c>
      <c r="B10" s="27">
        <v>0.21</v>
      </c>
      <c r="C10" s="17" t="s">
        <v>61</v>
      </c>
      <c r="D10" s="28" t="s">
        <v>53</v>
      </c>
      <c r="E10" s="17" t="s">
        <v>44</v>
      </c>
      <c r="F10">
        <f>40/1.3</f>
        <v>30.769230769230766</v>
      </c>
      <c r="G10">
        <f t="shared" si="0"/>
        <v>0.37986704653371317</v>
      </c>
    </row>
    <row r="11" spans="1:7" ht="26.25" x14ac:dyDescent="0.25">
      <c r="A11" s="17" t="s">
        <v>172</v>
      </c>
      <c r="B11" s="27">
        <v>0.42</v>
      </c>
      <c r="C11" s="17" t="s">
        <v>63</v>
      </c>
      <c r="D11" s="28" t="s">
        <v>53</v>
      </c>
      <c r="E11" s="17" t="s">
        <v>44</v>
      </c>
      <c r="F11">
        <f>50/1.3</f>
        <v>38.46153846153846</v>
      </c>
      <c r="G11">
        <f t="shared" si="0"/>
        <v>0.47483380816714149</v>
      </c>
    </row>
    <row r="12" spans="1:7" ht="26.25" x14ac:dyDescent="0.25">
      <c r="A12" s="17" t="s">
        <v>173</v>
      </c>
      <c r="B12" s="27">
        <v>0.09</v>
      </c>
      <c r="C12" s="17" t="s">
        <v>65</v>
      </c>
      <c r="D12" s="28" t="s">
        <v>66</v>
      </c>
      <c r="E12" s="17" t="s">
        <v>44</v>
      </c>
      <c r="F12">
        <f>5/0.95</f>
        <v>5.2631578947368425</v>
      </c>
      <c r="G12">
        <f t="shared" si="0"/>
        <v>6.497725795971411E-2</v>
      </c>
    </row>
    <row r="13" spans="1:7" ht="26.25" x14ac:dyDescent="0.25">
      <c r="A13" s="17" t="s">
        <v>174</v>
      </c>
      <c r="B13" s="27">
        <v>0.18</v>
      </c>
      <c r="C13" s="17" t="s">
        <v>68</v>
      </c>
      <c r="D13" s="28" t="s">
        <v>66</v>
      </c>
      <c r="E13" s="17" t="s">
        <v>44</v>
      </c>
      <c r="F13">
        <f>10/0.95</f>
        <v>10.526315789473685</v>
      </c>
      <c r="G13">
        <f t="shared" si="0"/>
        <v>0.12995451591942822</v>
      </c>
    </row>
    <row r="14" spans="1:7" ht="26.25" x14ac:dyDescent="0.25">
      <c r="A14" s="17" t="s">
        <v>175</v>
      </c>
      <c r="B14" s="27">
        <v>0.27</v>
      </c>
      <c r="C14" s="17" t="s">
        <v>74</v>
      </c>
      <c r="D14" s="28" t="s">
        <v>66</v>
      </c>
      <c r="E14" s="17" t="s">
        <v>44</v>
      </c>
      <c r="F14">
        <f>20/0.95</f>
        <v>21.05263157894737</v>
      </c>
      <c r="G14">
        <f t="shared" si="0"/>
        <v>0.25990903183885644</v>
      </c>
    </row>
    <row r="15" spans="1:7" ht="26.25" x14ac:dyDescent="0.25">
      <c r="A15" s="17" t="s">
        <v>176</v>
      </c>
      <c r="B15" s="27">
        <v>0.45</v>
      </c>
      <c r="C15" s="17" t="s">
        <v>76</v>
      </c>
      <c r="D15" s="28" t="s">
        <v>66</v>
      </c>
      <c r="E15" s="17" t="s">
        <v>44</v>
      </c>
      <c r="F15">
        <f>30/0.95</f>
        <v>31.578947368421055</v>
      </c>
      <c r="G15">
        <f t="shared" si="0"/>
        <v>0.38986354775828463</v>
      </c>
    </row>
    <row r="16" spans="1:7" ht="26.25" x14ac:dyDescent="0.25">
      <c r="A16" s="17" t="s">
        <v>177</v>
      </c>
      <c r="B16" s="27">
        <v>0.27</v>
      </c>
      <c r="C16" s="17" t="s">
        <v>74</v>
      </c>
      <c r="D16" s="28" t="s">
        <v>66</v>
      </c>
      <c r="E16" s="17" t="s">
        <v>44</v>
      </c>
      <c r="F16">
        <f>40/0.95</f>
        <v>42.10526315789474</v>
      </c>
      <c r="G16">
        <f t="shared" si="0"/>
        <v>0.51981806367771288</v>
      </c>
    </row>
    <row r="17" spans="1:7" ht="26.25" x14ac:dyDescent="0.25">
      <c r="A17" s="17" t="s">
        <v>178</v>
      </c>
      <c r="B17" s="27">
        <v>0.45</v>
      </c>
      <c r="C17" s="17" t="s">
        <v>76</v>
      </c>
      <c r="D17" s="28" t="s">
        <v>66</v>
      </c>
      <c r="E17" s="17" t="s">
        <v>44</v>
      </c>
      <c r="F17">
        <f>50/0.95</f>
        <v>52.631578947368425</v>
      </c>
      <c r="G17">
        <f t="shared" si="0"/>
        <v>0.64977257959714108</v>
      </c>
    </row>
    <row r="18" spans="1:7" ht="51.75" x14ac:dyDescent="0.25">
      <c r="A18" s="17" t="s">
        <v>179</v>
      </c>
      <c r="B18" s="27">
        <v>0.09</v>
      </c>
      <c r="C18" s="17" t="s">
        <v>78</v>
      </c>
      <c r="D18" s="28" t="s">
        <v>180</v>
      </c>
      <c r="F18">
        <f>5/0.95</f>
        <v>5.2631578947368425</v>
      </c>
      <c r="G18">
        <f t="shared" si="0"/>
        <v>6.497725795971411E-2</v>
      </c>
    </row>
    <row r="19" spans="1:7" ht="51.75" x14ac:dyDescent="0.25">
      <c r="A19" s="17" t="s">
        <v>181</v>
      </c>
      <c r="B19" s="27">
        <v>0.18</v>
      </c>
      <c r="C19" s="17" t="s">
        <v>81</v>
      </c>
      <c r="D19" s="28" t="s">
        <v>180</v>
      </c>
      <c r="E19" s="17" t="s">
        <v>44</v>
      </c>
      <c r="F19">
        <f>10/0.95</f>
        <v>10.526315789473685</v>
      </c>
      <c r="G19">
        <f t="shared" si="0"/>
        <v>0.12995451591942822</v>
      </c>
    </row>
    <row r="20" spans="1:7" ht="51.75" x14ac:dyDescent="0.25">
      <c r="A20" s="17" t="s">
        <v>182</v>
      </c>
      <c r="B20" s="27">
        <v>0.27</v>
      </c>
      <c r="C20" s="17" t="s">
        <v>87</v>
      </c>
      <c r="D20" s="28" t="s">
        <v>180</v>
      </c>
      <c r="E20" s="17" t="s">
        <v>44</v>
      </c>
      <c r="F20">
        <f>20/0.95</f>
        <v>21.05263157894737</v>
      </c>
      <c r="G20">
        <f t="shared" si="0"/>
        <v>0.25990903183885644</v>
      </c>
    </row>
    <row r="21" spans="1:7" ht="51.75" x14ac:dyDescent="0.25">
      <c r="A21" s="17" t="s">
        <v>183</v>
      </c>
      <c r="B21" s="27">
        <v>0.45</v>
      </c>
      <c r="C21" s="17" t="s">
        <v>89</v>
      </c>
      <c r="D21" s="28" t="s">
        <v>180</v>
      </c>
      <c r="E21" s="17" t="s">
        <v>44</v>
      </c>
      <c r="F21">
        <f>30/0.95</f>
        <v>31.578947368421055</v>
      </c>
      <c r="G21">
        <f t="shared" si="0"/>
        <v>0.38986354775828463</v>
      </c>
    </row>
    <row r="22" spans="1:7" ht="51.75" x14ac:dyDescent="0.25">
      <c r="A22" s="17" t="s">
        <v>184</v>
      </c>
      <c r="B22" s="27">
        <v>0.27</v>
      </c>
      <c r="C22" s="17" t="s">
        <v>87</v>
      </c>
      <c r="D22" s="28" t="s">
        <v>180</v>
      </c>
      <c r="E22" s="17" t="s">
        <v>44</v>
      </c>
      <c r="F22">
        <f>40/0.95</f>
        <v>42.10526315789474</v>
      </c>
      <c r="G22">
        <f t="shared" si="0"/>
        <v>0.51981806367771288</v>
      </c>
    </row>
    <row r="23" spans="1:7" ht="51.75" x14ac:dyDescent="0.25">
      <c r="A23" s="17" t="s">
        <v>185</v>
      </c>
      <c r="B23" s="27">
        <v>0.45</v>
      </c>
      <c r="C23" s="17" t="s">
        <v>89</v>
      </c>
      <c r="D23" s="28" t="s">
        <v>180</v>
      </c>
      <c r="E23" s="17" t="s">
        <v>44</v>
      </c>
      <c r="F23">
        <f>50/0.95</f>
        <v>52.631578947368425</v>
      </c>
      <c r="G23">
        <f t="shared" si="0"/>
        <v>0.64977257959714108</v>
      </c>
    </row>
    <row r="24" spans="1:7" ht="26.25" x14ac:dyDescent="0.25">
      <c r="A24" s="17" t="s">
        <v>186</v>
      </c>
      <c r="B24" s="27">
        <v>0.09</v>
      </c>
      <c r="C24" s="17" t="s">
        <v>91</v>
      </c>
      <c r="D24" s="28" t="s">
        <v>92</v>
      </c>
      <c r="E24" s="17" t="s">
        <v>44</v>
      </c>
      <c r="F24">
        <f>5/0.6</f>
        <v>8.3333333333333339</v>
      </c>
      <c r="G24">
        <f t="shared" si="0"/>
        <v>0.102880658436214</v>
      </c>
    </row>
    <row r="25" spans="1:7" ht="26.25" x14ac:dyDescent="0.25">
      <c r="A25" s="17" t="s">
        <v>187</v>
      </c>
      <c r="B25" s="27">
        <v>0.18</v>
      </c>
      <c r="C25" s="17" t="s">
        <v>94</v>
      </c>
      <c r="D25" s="28" t="s">
        <v>92</v>
      </c>
      <c r="E25" s="17" t="s">
        <v>44</v>
      </c>
      <c r="F25">
        <f>10/0.6</f>
        <v>16.666666666666668</v>
      </c>
      <c r="G25">
        <f t="shared" si="0"/>
        <v>0.20576131687242799</v>
      </c>
    </row>
    <row r="26" spans="1:7" ht="26.25" x14ac:dyDescent="0.25">
      <c r="A26" s="17" t="s">
        <v>188</v>
      </c>
      <c r="B26" s="27">
        <v>0.27</v>
      </c>
      <c r="C26" s="17" t="s">
        <v>189</v>
      </c>
      <c r="D26" s="28" t="s">
        <v>92</v>
      </c>
      <c r="E26" s="17" t="s">
        <v>44</v>
      </c>
      <c r="F26">
        <f>20/0.6</f>
        <v>33.333333333333336</v>
      </c>
      <c r="G26">
        <f t="shared" si="0"/>
        <v>0.41152263374485598</v>
      </c>
    </row>
    <row r="27" spans="1:7" ht="26.25" x14ac:dyDescent="0.25">
      <c r="A27" s="17" t="s">
        <v>190</v>
      </c>
      <c r="B27" s="27">
        <v>0.45</v>
      </c>
      <c r="C27" s="17" t="s">
        <v>191</v>
      </c>
      <c r="D27" s="28" t="s">
        <v>92</v>
      </c>
      <c r="E27" s="17" t="s">
        <v>44</v>
      </c>
      <c r="F27">
        <f>30/0.6</f>
        <v>50</v>
      </c>
      <c r="G27">
        <f t="shared" si="0"/>
        <v>0.61728395061728392</v>
      </c>
    </row>
    <row r="28" spans="1:7" ht="26.25" x14ac:dyDescent="0.25">
      <c r="A28" s="17" t="s">
        <v>192</v>
      </c>
      <c r="B28" s="27"/>
      <c r="C28" s="17"/>
      <c r="D28" s="28" t="s">
        <v>92</v>
      </c>
      <c r="E28" s="17"/>
      <c r="F28">
        <f>40/0.6</f>
        <v>66.666666666666671</v>
      </c>
      <c r="G28">
        <f t="shared" si="0"/>
        <v>0.82304526748971196</v>
      </c>
    </row>
    <row r="29" spans="1:7" ht="26.25" x14ac:dyDescent="0.25">
      <c r="A29" s="17" t="s">
        <v>193</v>
      </c>
      <c r="D29" s="28" t="s">
        <v>92</v>
      </c>
      <c r="F29">
        <f>50/0.6</f>
        <v>83.333333333333343</v>
      </c>
      <c r="G29">
        <f t="shared" si="0"/>
        <v>1.0288065843621401</v>
      </c>
    </row>
    <row r="30" spans="1:7" ht="26.25" x14ac:dyDescent="0.25">
      <c r="A30" s="17" t="s">
        <v>194</v>
      </c>
      <c r="B30" s="27">
        <v>5</v>
      </c>
      <c r="C30" s="17" t="s">
        <v>195</v>
      </c>
      <c r="D30" s="28" t="s">
        <v>196</v>
      </c>
      <c r="E30" s="17" t="s">
        <v>197</v>
      </c>
    </row>
    <row r="31" spans="1:7" ht="26.25" x14ac:dyDescent="0.25">
      <c r="A31" s="17" t="s">
        <v>198</v>
      </c>
      <c r="B31" s="27">
        <v>7</v>
      </c>
      <c r="C31" s="17" t="s">
        <v>195</v>
      </c>
      <c r="D31" s="28" t="s">
        <v>196</v>
      </c>
      <c r="E31" s="17" t="s">
        <v>197</v>
      </c>
    </row>
    <row r="32" spans="1:7" ht="26.25" x14ac:dyDescent="0.25">
      <c r="A32" s="17" t="s">
        <v>199</v>
      </c>
      <c r="B32" s="27">
        <v>10</v>
      </c>
      <c r="C32" s="17" t="s">
        <v>195</v>
      </c>
      <c r="D32" s="28" t="s">
        <v>196</v>
      </c>
      <c r="E32" s="17" t="s">
        <v>197</v>
      </c>
    </row>
    <row r="33" spans="1:5" ht="26.25" x14ac:dyDescent="0.25">
      <c r="A33" s="17" t="s">
        <v>200</v>
      </c>
      <c r="B33" s="27">
        <v>15</v>
      </c>
      <c r="C33" s="17" t="s">
        <v>195</v>
      </c>
      <c r="D33" s="28" t="s">
        <v>196</v>
      </c>
      <c r="E33" s="17" t="s">
        <v>197</v>
      </c>
    </row>
    <row r="34" spans="1:5" ht="26.25" x14ac:dyDescent="0.25">
      <c r="A34" s="17" t="s">
        <v>201</v>
      </c>
      <c r="B34" s="27">
        <v>20</v>
      </c>
      <c r="C34" s="17" t="s">
        <v>195</v>
      </c>
      <c r="D34" s="28" t="s">
        <v>196</v>
      </c>
      <c r="E34" s="17" t="s">
        <v>197</v>
      </c>
    </row>
    <row r="35" spans="1:5" ht="26.25" x14ac:dyDescent="0.25">
      <c r="A35" s="17" t="s">
        <v>202</v>
      </c>
      <c r="B35" s="27">
        <v>25</v>
      </c>
      <c r="C35" s="17" t="s">
        <v>203</v>
      </c>
      <c r="D35" s="28" t="s">
        <v>196</v>
      </c>
      <c r="E35" s="17" t="s">
        <v>204</v>
      </c>
    </row>
    <row r="36" spans="1:5" ht="26.25" x14ac:dyDescent="0.25">
      <c r="A36" s="17" t="s">
        <v>205</v>
      </c>
      <c r="B36" s="27">
        <v>30</v>
      </c>
      <c r="C36" s="17" t="s">
        <v>203</v>
      </c>
      <c r="D36" s="28" t="s">
        <v>196</v>
      </c>
      <c r="E36" s="17" t="s">
        <v>204</v>
      </c>
    </row>
    <row r="37" spans="1:5" ht="26.25" x14ac:dyDescent="0.25">
      <c r="A37" s="17" t="s">
        <v>206</v>
      </c>
      <c r="B37" s="27">
        <v>40</v>
      </c>
      <c r="C37" s="17" t="s">
        <v>203</v>
      </c>
      <c r="D37" s="28" t="s">
        <v>196</v>
      </c>
      <c r="E37" s="17" t="s">
        <v>204</v>
      </c>
    </row>
    <row r="38" spans="1:5" ht="26.25" x14ac:dyDescent="0.25">
      <c r="A38" s="17" t="s">
        <v>207</v>
      </c>
      <c r="B38" s="27">
        <v>50</v>
      </c>
      <c r="C38" s="17" t="s">
        <v>203</v>
      </c>
      <c r="D38" s="28" t="s">
        <v>196</v>
      </c>
      <c r="E38" s="17" t="s">
        <v>204</v>
      </c>
    </row>
    <row r="39" spans="1:5" ht="26.25" x14ac:dyDescent="0.25">
      <c r="A39" s="17" t="s">
        <v>208</v>
      </c>
      <c r="B39" s="27">
        <v>65</v>
      </c>
      <c r="C39" s="17" t="s">
        <v>203</v>
      </c>
      <c r="D39" s="28" t="s">
        <v>196</v>
      </c>
      <c r="E39" s="17" t="s">
        <v>204</v>
      </c>
    </row>
    <row r="40" spans="1:5" ht="26.25" x14ac:dyDescent="0.25">
      <c r="A40" s="17" t="s">
        <v>209</v>
      </c>
      <c r="B40" s="27">
        <v>80</v>
      </c>
      <c r="C40" s="17" t="s">
        <v>203</v>
      </c>
      <c r="D40" s="28" t="s">
        <v>196</v>
      </c>
      <c r="E40" s="17" t="s">
        <v>204</v>
      </c>
    </row>
    <row r="41" spans="1:5" ht="26.25" x14ac:dyDescent="0.25">
      <c r="A41" s="17" t="s">
        <v>210</v>
      </c>
      <c r="B41" s="27">
        <v>100</v>
      </c>
      <c r="C41" s="17" t="s">
        <v>203</v>
      </c>
      <c r="D41" s="28" t="s">
        <v>196</v>
      </c>
      <c r="E41" s="17" t="s">
        <v>204</v>
      </c>
    </row>
    <row r="42" spans="1:5" ht="26.25" x14ac:dyDescent="0.25">
      <c r="A42" s="17" t="s">
        <v>211</v>
      </c>
      <c r="B42" s="27">
        <v>150</v>
      </c>
      <c r="C42" s="17" t="s">
        <v>203</v>
      </c>
      <c r="D42" s="28" t="s">
        <v>196</v>
      </c>
      <c r="E42" s="17" t="s">
        <v>204</v>
      </c>
    </row>
    <row r="43" spans="1:5" ht="26.25" x14ac:dyDescent="0.25">
      <c r="A43" s="17" t="s">
        <v>212</v>
      </c>
      <c r="B43" s="27">
        <v>200</v>
      </c>
      <c r="C43" s="17" t="s">
        <v>203</v>
      </c>
      <c r="D43" s="28" t="s">
        <v>196</v>
      </c>
      <c r="E43" s="17" t="s">
        <v>204</v>
      </c>
    </row>
    <row r="44" spans="1:5" ht="26.25" x14ac:dyDescent="0.25">
      <c r="A44" s="17" t="s">
        <v>213</v>
      </c>
      <c r="B44" s="27">
        <v>250</v>
      </c>
      <c r="C44" s="17" t="s">
        <v>203</v>
      </c>
      <c r="D44" s="28" t="s">
        <v>196</v>
      </c>
      <c r="E44" s="17" t="s">
        <v>204</v>
      </c>
    </row>
    <row r="45" spans="1:5" ht="26.25" x14ac:dyDescent="0.25">
      <c r="A45" s="17" t="s">
        <v>214</v>
      </c>
      <c r="B45" s="27">
        <v>300</v>
      </c>
      <c r="C45" s="17" t="s">
        <v>203</v>
      </c>
      <c r="D45" s="28" t="s">
        <v>196</v>
      </c>
      <c r="E45" s="17" t="s">
        <v>204</v>
      </c>
    </row>
    <row r="46" spans="1:5" x14ac:dyDescent="0.25">
      <c r="A46" s="17" t="s">
        <v>215</v>
      </c>
      <c r="B46" s="27">
        <v>1</v>
      </c>
      <c r="C46" s="17" t="s">
        <v>216</v>
      </c>
      <c r="D46" s="28" t="s">
        <v>217</v>
      </c>
      <c r="E46" s="17" t="s">
        <v>44</v>
      </c>
    </row>
    <row r="47" spans="1:5" x14ac:dyDescent="0.25">
      <c r="A47" s="17" t="s">
        <v>218</v>
      </c>
      <c r="B47" s="27">
        <v>1.5</v>
      </c>
      <c r="C47" s="17" t="s">
        <v>216</v>
      </c>
      <c r="D47" s="28" t="s">
        <v>217</v>
      </c>
      <c r="E47" s="17" t="s">
        <v>44</v>
      </c>
    </row>
    <row r="48" spans="1:5" x14ac:dyDescent="0.25">
      <c r="A48" s="17" t="s">
        <v>219</v>
      </c>
      <c r="B48" s="27">
        <v>2</v>
      </c>
      <c r="C48" s="17" t="s">
        <v>216</v>
      </c>
      <c r="D48" s="28" t="s">
        <v>217</v>
      </c>
      <c r="E48" s="17" t="s">
        <v>44</v>
      </c>
    </row>
    <row r="49" spans="1:5" x14ac:dyDescent="0.25">
      <c r="A49" s="17" t="s">
        <v>220</v>
      </c>
      <c r="B49" s="27">
        <v>4</v>
      </c>
      <c r="C49" s="17" t="s">
        <v>216</v>
      </c>
      <c r="D49" s="28" t="s">
        <v>217</v>
      </c>
      <c r="E49" s="17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G8" sqref="G8"/>
    </sheetView>
  </sheetViews>
  <sheetFormatPr defaultRowHeight="15" x14ac:dyDescent="0.25"/>
  <cols>
    <col min="1" max="2" width="10.5703125" bestFit="1" customWidth="1"/>
    <col min="3" max="3" width="14.85546875" bestFit="1" customWidth="1"/>
    <col min="4" max="4" width="27" customWidth="1"/>
    <col min="5" max="5" width="15.42578125" bestFit="1" customWidth="1"/>
    <col min="6" max="6" width="20" bestFit="1" customWidth="1"/>
    <col min="7" max="7" width="29.140625" bestFit="1" customWidth="1"/>
    <col min="257" max="258" width="10.5703125" bestFit="1" customWidth="1"/>
    <col min="259" max="259" width="14.85546875" bestFit="1" customWidth="1"/>
    <col min="260" max="260" width="27" customWidth="1"/>
    <col min="261" max="261" width="15.42578125" bestFit="1" customWidth="1"/>
    <col min="262" max="262" width="20" bestFit="1" customWidth="1"/>
    <col min="263" max="263" width="29.140625" bestFit="1" customWidth="1"/>
    <col min="513" max="514" width="10.5703125" bestFit="1" customWidth="1"/>
    <col min="515" max="515" width="14.85546875" bestFit="1" customWidth="1"/>
    <col min="516" max="516" width="27" customWidth="1"/>
    <col min="517" max="517" width="15.42578125" bestFit="1" customWidth="1"/>
    <col min="518" max="518" width="20" bestFit="1" customWidth="1"/>
    <col min="519" max="519" width="29.140625" bestFit="1" customWidth="1"/>
    <col min="769" max="770" width="10.5703125" bestFit="1" customWidth="1"/>
    <col min="771" max="771" width="14.85546875" bestFit="1" customWidth="1"/>
    <col min="772" max="772" width="27" customWidth="1"/>
    <col min="773" max="773" width="15.42578125" bestFit="1" customWidth="1"/>
    <col min="774" max="774" width="20" bestFit="1" customWidth="1"/>
    <col min="775" max="775" width="29.140625" bestFit="1" customWidth="1"/>
    <col min="1025" max="1026" width="10.5703125" bestFit="1" customWidth="1"/>
    <col min="1027" max="1027" width="14.85546875" bestFit="1" customWidth="1"/>
    <col min="1028" max="1028" width="27" customWidth="1"/>
    <col min="1029" max="1029" width="15.42578125" bestFit="1" customWidth="1"/>
    <col min="1030" max="1030" width="20" bestFit="1" customWidth="1"/>
    <col min="1031" max="1031" width="29.140625" bestFit="1" customWidth="1"/>
    <col min="1281" max="1282" width="10.5703125" bestFit="1" customWidth="1"/>
    <col min="1283" max="1283" width="14.85546875" bestFit="1" customWidth="1"/>
    <col min="1284" max="1284" width="27" customWidth="1"/>
    <col min="1285" max="1285" width="15.42578125" bestFit="1" customWidth="1"/>
    <col min="1286" max="1286" width="20" bestFit="1" customWidth="1"/>
    <col min="1287" max="1287" width="29.140625" bestFit="1" customWidth="1"/>
    <col min="1537" max="1538" width="10.5703125" bestFit="1" customWidth="1"/>
    <col min="1539" max="1539" width="14.85546875" bestFit="1" customWidth="1"/>
    <col min="1540" max="1540" width="27" customWidth="1"/>
    <col min="1541" max="1541" width="15.42578125" bestFit="1" customWidth="1"/>
    <col min="1542" max="1542" width="20" bestFit="1" customWidth="1"/>
    <col min="1543" max="1543" width="29.140625" bestFit="1" customWidth="1"/>
    <col min="1793" max="1794" width="10.5703125" bestFit="1" customWidth="1"/>
    <col min="1795" max="1795" width="14.85546875" bestFit="1" customWidth="1"/>
    <col min="1796" max="1796" width="27" customWidth="1"/>
    <col min="1797" max="1797" width="15.42578125" bestFit="1" customWidth="1"/>
    <col min="1798" max="1798" width="20" bestFit="1" customWidth="1"/>
    <col min="1799" max="1799" width="29.140625" bestFit="1" customWidth="1"/>
    <col min="2049" max="2050" width="10.5703125" bestFit="1" customWidth="1"/>
    <col min="2051" max="2051" width="14.85546875" bestFit="1" customWidth="1"/>
    <col min="2052" max="2052" width="27" customWidth="1"/>
    <col min="2053" max="2053" width="15.42578125" bestFit="1" customWidth="1"/>
    <col min="2054" max="2054" width="20" bestFit="1" customWidth="1"/>
    <col min="2055" max="2055" width="29.140625" bestFit="1" customWidth="1"/>
    <col min="2305" max="2306" width="10.5703125" bestFit="1" customWidth="1"/>
    <col min="2307" max="2307" width="14.85546875" bestFit="1" customWidth="1"/>
    <col min="2308" max="2308" width="27" customWidth="1"/>
    <col min="2309" max="2309" width="15.42578125" bestFit="1" customWidth="1"/>
    <col min="2310" max="2310" width="20" bestFit="1" customWidth="1"/>
    <col min="2311" max="2311" width="29.140625" bestFit="1" customWidth="1"/>
    <col min="2561" max="2562" width="10.5703125" bestFit="1" customWidth="1"/>
    <col min="2563" max="2563" width="14.85546875" bestFit="1" customWidth="1"/>
    <col min="2564" max="2564" width="27" customWidth="1"/>
    <col min="2565" max="2565" width="15.42578125" bestFit="1" customWidth="1"/>
    <col min="2566" max="2566" width="20" bestFit="1" customWidth="1"/>
    <col min="2567" max="2567" width="29.140625" bestFit="1" customWidth="1"/>
    <col min="2817" max="2818" width="10.5703125" bestFit="1" customWidth="1"/>
    <col min="2819" max="2819" width="14.85546875" bestFit="1" customWidth="1"/>
    <col min="2820" max="2820" width="27" customWidth="1"/>
    <col min="2821" max="2821" width="15.42578125" bestFit="1" customWidth="1"/>
    <col min="2822" max="2822" width="20" bestFit="1" customWidth="1"/>
    <col min="2823" max="2823" width="29.140625" bestFit="1" customWidth="1"/>
    <col min="3073" max="3074" width="10.5703125" bestFit="1" customWidth="1"/>
    <col min="3075" max="3075" width="14.85546875" bestFit="1" customWidth="1"/>
    <col min="3076" max="3076" width="27" customWidth="1"/>
    <col min="3077" max="3077" width="15.42578125" bestFit="1" customWidth="1"/>
    <col min="3078" max="3078" width="20" bestFit="1" customWidth="1"/>
    <col min="3079" max="3079" width="29.140625" bestFit="1" customWidth="1"/>
    <col min="3329" max="3330" width="10.5703125" bestFit="1" customWidth="1"/>
    <col min="3331" max="3331" width="14.85546875" bestFit="1" customWidth="1"/>
    <col min="3332" max="3332" width="27" customWidth="1"/>
    <col min="3333" max="3333" width="15.42578125" bestFit="1" customWidth="1"/>
    <col min="3334" max="3334" width="20" bestFit="1" customWidth="1"/>
    <col min="3335" max="3335" width="29.140625" bestFit="1" customWidth="1"/>
    <col min="3585" max="3586" width="10.5703125" bestFit="1" customWidth="1"/>
    <col min="3587" max="3587" width="14.85546875" bestFit="1" customWidth="1"/>
    <col min="3588" max="3588" width="27" customWidth="1"/>
    <col min="3589" max="3589" width="15.42578125" bestFit="1" customWidth="1"/>
    <col min="3590" max="3590" width="20" bestFit="1" customWidth="1"/>
    <col min="3591" max="3591" width="29.140625" bestFit="1" customWidth="1"/>
    <col min="3841" max="3842" width="10.5703125" bestFit="1" customWidth="1"/>
    <col min="3843" max="3843" width="14.85546875" bestFit="1" customWidth="1"/>
    <col min="3844" max="3844" width="27" customWidth="1"/>
    <col min="3845" max="3845" width="15.42578125" bestFit="1" customWidth="1"/>
    <col min="3846" max="3846" width="20" bestFit="1" customWidth="1"/>
    <col min="3847" max="3847" width="29.140625" bestFit="1" customWidth="1"/>
    <col min="4097" max="4098" width="10.5703125" bestFit="1" customWidth="1"/>
    <col min="4099" max="4099" width="14.85546875" bestFit="1" customWidth="1"/>
    <col min="4100" max="4100" width="27" customWidth="1"/>
    <col min="4101" max="4101" width="15.42578125" bestFit="1" customWidth="1"/>
    <col min="4102" max="4102" width="20" bestFit="1" customWidth="1"/>
    <col min="4103" max="4103" width="29.140625" bestFit="1" customWidth="1"/>
    <col min="4353" max="4354" width="10.5703125" bestFit="1" customWidth="1"/>
    <col min="4355" max="4355" width="14.85546875" bestFit="1" customWidth="1"/>
    <col min="4356" max="4356" width="27" customWidth="1"/>
    <col min="4357" max="4357" width="15.42578125" bestFit="1" customWidth="1"/>
    <col min="4358" max="4358" width="20" bestFit="1" customWidth="1"/>
    <col min="4359" max="4359" width="29.140625" bestFit="1" customWidth="1"/>
    <col min="4609" max="4610" width="10.5703125" bestFit="1" customWidth="1"/>
    <col min="4611" max="4611" width="14.85546875" bestFit="1" customWidth="1"/>
    <col min="4612" max="4612" width="27" customWidth="1"/>
    <col min="4613" max="4613" width="15.42578125" bestFit="1" customWidth="1"/>
    <col min="4614" max="4614" width="20" bestFit="1" customWidth="1"/>
    <col min="4615" max="4615" width="29.140625" bestFit="1" customWidth="1"/>
    <col min="4865" max="4866" width="10.5703125" bestFit="1" customWidth="1"/>
    <col min="4867" max="4867" width="14.85546875" bestFit="1" customWidth="1"/>
    <col min="4868" max="4868" width="27" customWidth="1"/>
    <col min="4869" max="4869" width="15.42578125" bestFit="1" customWidth="1"/>
    <col min="4870" max="4870" width="20" bestFit="1" customWidth="1"/>
    <col min="4871" max="4871" width="29.140625" bestFit="1" customWidth="1"/>
    <col min="5121" max="5122" width="10.5703125" bestFit="1" customWidth="1"/>
    <col min="5123" max="5123" width="14.85546875" bestFit="1" customWidth="1"/>
    <col min="5124" max="5124" width="27" customWidth="1"/>
    <col min="5125" max="5125" width="15.42578125" bestFit="1" customWidth="1"/>
    <col min="5126" max="5126" width="20" bestFit="1" customWidth="1"/>
    <col min="5127" max="5127" width="29.140625" bestFit="1" customWidth="1"/>
    <col min="5377" max="5378" width="10.5703125" bestFit="1" customWidth="1"/>
    <col min="5379" max="5379" width="14.85546875" bestFit="1" customWidth="1"/>
    <col min="5380" max="5380" width="27" customWidth="1"/>
    <col min="5381" max="5381" width="15.42578125" bestFit="1" customWidth="1"/>
    <col min="5382" max="5382" width="20" bestFit="1" customWidth="1"/>
    <col min="5383" max="5383" width="29.140625" bestFit="1" customWidth="1"/>
    <col min="5633" max="5634" width="10.5703125" bestFit="1" customWidth="1"/>
    <col min="5635" max="5635" width="14.85546875" bestFit="1" customWidth="1"/>
    <col min="5636" max="5636" width="27" customWidth="1"/>
    <col min="5637" max="5637" width="15.42578125" bestFit="1" customWidth="1"/>
    <col min="5638" max="5638" width="20" bestFit="1" customWidth="1"/>
    <col min="5639" max="5639" width="29.140625" bestFit="1" customWidth="1"/>
    <col min="5889" max="5890" width="10.5703125" bestFit="1" customWidth="1"/>
    <col min="5891" max="5891" width="14.85546875" bestFit="1" customWidth="1"/>
    <col min="5892" max="5892" width="27" customWidth="1"/>
    <col min="5893" max="5893" width="15.42578125" bestFit="1" customWidth="1"/>
    <col min="5894" max="5894" width="20" bestFit="1" customWidth="1"/>
    <col min="5895" max="5895" width="29.140625" bestFit="1" customWidth="1"/>
    <col min="6145" max="6146" width="10.5703125" bestFit="1" customWidth="1"/>
    <col min="6147" max="6147" width="14.85546875" bestFit="1" customWidth="1"/>
    <col min="6148" max="6148" width="27" customWidth="1"/>
    <col min="6149" max="6149" width="15.42578125" bestFit="1" customWidth="1"/>
    <col min="6150" max="6150" width="20" bestFit="1" customWidth="1"/>
    <col min="6151" max="6151" width="29.140625" bestFit="1" customWidth="1"/>
    <col min="6401" max="6402" width="10.5703125" bestFit="1" customWidth="1"/>
    <col min="6403" max="6403" width="14.85546875" bestFit="1" customWidth="1"/>
    <col min="6404" max="6404" width="27" customWidth="1"/>
    <col min="6405" max="6405" width="15.42578125" bestFit="1" customWidth="1"/>
    <col min="6406" max="6406" width="20" bestFit="1" customWidth="1"/>
    <col min="6407" max="6407" width="29.140625" bestFit="1" customWidth="1"/>
    <col min="6657" max="6658" width="10.5703125" bestFit="1" customWidth="1"/>
    <col min="6659" max="6659" width="14.85546875" bestFit="1" customWidth="1"/>
    <col min="6660" max="6660" width="27" customWidth="1"/>
    <col min="6661" max="6661" width="15.42578125" bestFit="1" customWidth="1"/>
    <col min="6662" max="6662" width="20" bestFit="1" customWidth="1"/>
    <col min="6663" max="6663" width="29.140625" bestFit="1" customWidth="1"/>
    <col min="6913" max="6914" width="10.5703125" bestFit="1" customWidth="1"/>
    <col min="6915" max="6915" width="14.85546875" bestFit="1" customWidth="1"/>
    <col min="6916" max="6916" width="27" customWidth="1"/>
    <col min="6917" max="6917" width="15.42578125" bestFit="1" customWidth="1"/>
    <col min="6918" max="6918" width="20" bestFit="1" customWidth="1"/>
    <col min="6919" max="6919" width="29.140625" bestFit="1" customWidth="1"/>
    <col min="7169" max="7170" width="10.5703125" bestFit="1" customWidth="1"/>
    <col min="7171" max="7171" width="14.85546875" bestFit="1" customWidth="1"/>
    <col min="7172" max="7172" width="27" customWidth="1"/>
    <col min="7173" max="7173" width="15.42578125" bestFit="1" customWidth="1"/>
    <col min="7174" max="7174" width="20" bestFit="1" customWidth="1"/>
    <col min="7175" max="7175" width="29.140625" bestFit="1" customWidth="1"/>
    <col min="7425" max="7426" width="10.5703125" bestFit="1" customWidth="1"/>
    <col min="7427" max="7427" width="14.85546875" bestFit="1" customWidth="1"/>
    <col min="7428" max="7428" width="27" customWidth="1"/>
    <col min="7429" max="7429" width="15.42578125" bestFit="1" customWidth="1"/>
    <col min="7430" max="7430" width="20" bestFit="1" customWidth="1"/>
    <col min="7431" max="7431" width="29.140625" bestFit="1" customWidth="1"/>
    <col min="7681" max="7682" width="10.5703125" bestFit="1" customWidth="1"/>
    <col min="7683" max="7683" width="14.85546875" bestFit="1" customWidth="1"/>
    <col min="7684" max="7684" width="27" customWidth="1"/>
    <col min="7685" max="7685" width="15.42578125" bestFit="1" customWidth="1"/>
    <col min="7686" max="7686" width="20" bestFit="1" customWidth="1"/>
    <col min="7687" max="7687" width="29.140625" bestFit="1" customWidth="1"/>
    <col min="7937" max="7938" width="10.5703125" bestFit="1" customWidth="1"/>
    <col min="7939" max="7939" width="14.85546875" bestFit="1" customWidth="1"/>
    <col min="7940" max="7940" width="27" customWidth="1"/>
    <col min="7941" max="7941" width="15.42578125" bestFit="1" customWidth="1"/>
    <col min="7942" max="7942" width="20" bestFit="1" customWidth="1"/>
    <col min="7943" max="7943" width="29.140625" bestFit="1" customWidth="1"/>
    <col min="8193" max="8194" width="10.5703125" bestFit="1" customWidth="1"/>
    <col min="8195" max="8195" width="14.85546875" bestFit="1" customWidth="1"/>
    <col min="8196" max="8196" width="27" customWidth="1"/>
    <col min="8197" max="8197" width="15.42578125" bestFit="1" customWidth="1"/>
    <col min="8198" max="8198" width="20" bestFit="1" customWidth="1"/>
    <col min="8199" max="8199" width="29.140625" bestFit="1" customWidth="1"/>
    <col min="8449" max="8450" width="10.5703125" bestFit="1" customWidth="1"/>
    <col min="8451" max="8451" width="14.85546875" bestFit="1" customWidth="1"/>
    <col min="8452" max="8452" width="27" customWidth="1"/>
    <col min="8453" max="8453" width="15.42578125" bestFit="1" customWidth="1"/>
    <col min="8454" max="8454" width="20" bestFit="1" customWidth="1"/>
    <col min="8455" max="8455" width="29.140625" bestFit="1" customWidth="1"/>
    <col min="8705" max="8706" width="10.5703125" bestFit="1" customWidth="1"/>
    <col min="8707" max="8707" width="14.85546875" bestFit="1" customWidth="1"/>
    <col min="8708" max="8708" width="27" customWidth="1"/>
    <col min="8709" max="8709" width="15.42578125" bestFit="1" customWidth="1"/>
    <col min="8710" max="8710" width="20" bestFit="1" customWidth="1"/>
    <col min="8711" max="8711" width="29.140625" bestFit="1" customWidth="1"/>
    <col min="8961" max="8962" width="10.5703125" bestFit="1" customWidth="1"/>
    <col min="8963" max="8963" width="14.85546875" bestFit="1" customWidth="1"/>
    <col min="8964" max="8964" width="27" customWidth="1"/>
    <col min="8965" max="8965" width="15.42578125" bestFit="1" customWidth="1"/>
    <col min="8966" max="8966" width="20" bestFit="1" customWidth="1"/>
    <col min="8967" max="8967" width="29.140625" bestFit="1" customWidth="1"/>
    <col min="9217" max="9218" width="10.5703125" bestFit="1" customWidth="1"/>
    <col min="9219" max="9219" width="14.85546875" bestFit="1" customWidth="1"/>
    <col min="9220" max="9220" width="27" customWidth="1"/>
    <col min="9221" max="9221" width="15.42578125" bestFit="1" customWidth="1"/>
    <col min="9222" max="9222" width="20" bestFit="1" customWidth="1"/>
    <col min="9223" max="9223" width="29.140625" bestFit="1" customWidth="1"/>
    <col min="9473" max="9474" width="10.5703125" bestFit="1" customWidth="1"/>
    <col min="9475" max="9475" width="14.85546875" bestFit="1" customWidth="1"/>
    <col min="9476" max="9476" width="27" customWidth="1"/>
    <col min="9477" max="9477" width="15.42578125" bestFit="1" customWidth="1"/>
    <col min="9478" max="9478" width="20" bestFit="1" customWidth="1"/>
    <col min="9479" max="9479" width="29.140625" bestFit="1" customWidth="1"/>
    <col min="9729" max="9730" width="10.5703125" bestFit="1" customWidth="1"/>
    <col min="9731" max="9731" width="14.85546875" bestFit="1" customWidth="1"/>
    <col min="9732" max="9732" width="27" customWidth="1"/>
    <col min="9733" max="9733" width="15.42578125" bestFit="1" customWidth="1"/>
    <col min="9734" max="9734" width="20" bestFit="1" customWidth="1"/>
    <col min="9735" max="9735" width="29.140625" bestFit="1" customWidth="1"/>
    <col min="9985" max="9986" width="10.5703125" bestFit="1" customWidth="1"/>
    <col min="9987" max="9987" width="14.85546875" bestFit="1" customWidth="1"/>
    <col min="9988" max="9988" width="27" customWidth="1"/>
    <col min="9989" max="9989" width="15.42578125" bestFit="1" customWidth="1"/>
    <col min="9990" max="9990" width="20" bestFit="1" customWidth="1"/>
    <col min="9991" max="9991" width="29.140625" bestFit="1" customWidth="1"/>
    <col min="10241" max="10242" width="10.5703125" bestFit="1" customWidth="1"/>
    <col min="10243" max="10243" width="14.85546875" bestFit="1" customWidth="1"/>
    <col min="10244" max="10244" width="27" customWidth="1"/>
    <col min="10245" max="10245" width="15.42578125" bestFit="1" customWidth="1"/>
    <col min="10246" max="10246" width="20" bestFit="1" customWidth="1"/>
    <col min="10247" max="10247" width="29.140625" bestFit="1" customWidth="1"/>
    <col min="10497" max="10498" width="10.5703125" bestFit="1" customWidth="1"/>
    <col min="10499" max="10499" width="14.85546875" bestFit="1" customWidth="1"/>
    <col min="10500" max="10500" width="27" customWidth="1"/>
    <col min="10501" max="10501" width="15.42578125" bestFit="1" customWidth="1"/>
    <col min="10502" max="10502" width="20" bestFit="1" customWidth="1"/>
    <col min="10503" max="10503" width="29.140625" bestFit="1" customWidth="1"/>
    <col min="10753" max="10754" width="10.5703125" bestFit="1" customWidth="1"/>
    <col min="10755" max="10755" width="14.85546875" bestFit="1" customWidth="1"/>
    <col min="10756" max="10756" width="27" customWidth="1"/>
    <col min="10757" max="10757" width="15.42578125" bestFit="1" customWidth="1"/>
    <col min="10758" max="10758" width="20" bestFit="1" customWidth="1"/>
    <col min="10759" max="10759" width="29.140625" bestFit="1" customWidth="1"/>
    <col min="11009" max="11010" width="10.5703125" bestFit="1" customWidth="1"/>
    <col min="11011" max="11011" width="14.85546875" bestFit="1" customWidth="1"/>
    <col min="11012" max="11012" width="27" customWidth="1"/>
    <col min="11013" max="11013" width="15.42578125" bestFit="1" customWidth="1"/>
    <col min="11014" max="11014" width="20" bestFit="1" customWidth="1"/>
    <col min="11015" max="11015" width="29.140625" bestFit="1" customWidth="1"/>
    <col min="11265" max="11266" width="10.5703125" bestFit="1" customWidth="1"/>
    <col min="11267" max="11267" width="14.85546875" bestFit="1" customWidth="1"/>
    <col min="11268" max="11268" width="27" customWidth="1"/>
    <col min="11269" max="11269" width="15.42578125" bestFit="1" customWidth="1"/>
    <col min="11270" max="11270" width="20" bestFit="1" customWidth="1"/>
    <col min="11271" max="11271" width="29.140625" bestFit="1" customWidth="1"/>
    <col min="11521" max="11522" width="10.5703125" bestFit="1" customWidth="1"/>
    <col min="11523" max="11523" width="14.85546875" bestFit="1" customWidth="1"/>
    <col min="11524" max="11524" width="27" customWidth="1"/>
    <col min="11525" max="11525" width="15.42578125" bestFit="1" customWidth="1"/>
    <col min="11526" max="11526" width="20" bestFit="1" customWidth="1"/>
    <col min="11527" max="11527" width="29.140625" bestFit="1" customWidth="1"/>
    <col min="11777" max="11778" width="10.5703125" bestFit="1" customWidth="1"/>
    <col min="11779" max="11779" width="14.85546875" bestFit="1" customWidth="1"/>
    <col min="11780" max="11780" width="27" customWidth="1"/>
    <col min="11781" max="11781" width="15.42578125" bestFit="1" customWidth="1"/>
    <col min="11782" max="11782" width="20" bestFit="1" customWidth="1"/>
    <col min="11783" max="11783" width="29.140625" bestFit="1" customWidth="1"/>
    <col min="12033" max="12034" width="10.5703125" bestFit="1" customWidth="1"/>
    <col min="12035" max="12035" width="14.85546875" bestFit="1" customWidth="1"/>
    <col min="12036" max="12036" width="27" customWidth="1"/>
    <col min="12037" max="12037" width="15.42578125" bestFit="1" customWidth="1"/>
    <col min="12038" max="12038" width="20" bestFit="1" customWidth="1"/>
    <col min="12039" max="12039" width="29.140625" bestFit="1" customWidth="1"/>
    <col min="12289" max="12290" width="10.5703125" bestFit="1" customWidth="1"/>
    <col min="12291" max="12291" width="14.85546875" bestFit="1" customWidth="1"/>
    <col min="12292" max="12292" width="27" customWidth="1"/>
    <col min="12293" max="12293" width="15.42578125" bestFit="1" customWidth="1"/>
    <col min="12294" max="12294" width="20" bestFit="1" customWidth="1"/>
    <col min="12295" max="12295" width="29.140625" bestFit="1" customWidth="1"/>
    <col min="12545" max="12546" width="10.5703125" bestFit="1" customWidth="1"/>
    <col min="12547" max="12547" width="14.85546875" bestFit="1" customWidth="1"/>
    <col min="12548" max="12548" width="27" customWidth="1"/>
    <col min="12549" max="12549" width="15.42578125" bestFit="1" customWidth="1"/>
    <col min="12550" max="12550" width="20" bestFit="1" customWidth="1"/>
    <col min="12551" max="12551" width="29.140625" bestFit="1" customWidth="1"/>
    <col min="12801" max="12802" width="10.5703125" bestFit="1" customWidth="1"/>
    <col min="12803" max="12803" width="14.85546875" bestFit="1" customWidth="1"/>
    <col min="12804" max="12804" width="27" customWidth="1"/>
    <col min="12805" max="12805" width="15.42578125" bestFit="1" customWidth="1"/>
    <col min="12806" max="12806" width="20" bestFit="1" customWidth="1"/>
    <col min="12807" max="12807" width="29.140625" bestFit="1" customWidth="1"/>
    <col min="13057" max="13058" width="10.5703125" bestFit="1" customWidth="1"/>
    <col min="13059" max="13059" width="14.85546875" bestFit="1" customWidth="1"/>
    <col min="13060" max="13060" width="27" customWidth="1"/>
    <col min="13061" max="13061" width="15.42578125" bestFit="1" customWidth="1"/>
    <col min="13062" max="13062" width="20" bestFit="1" customWidth="1"/>
    <col min="13063" max="13063" width="29.140625" bestFit="1" customWidth="1"/>
    <col min="13313" max="13314" width="10.5703125" bestFit="1" customWidth="1"/>
    <col min="13315" max="13315" width="14.85546875" bestFit="1" customWidth="1"/>
    <col min="13316" max="13316" width="27" customWidth="1"/>
    <col min="13317" max="13317" width="15.42578125" bestFit="1" customWidth="1"/>
    <col min="13318" max="13318" width="20" bestFit="1" customWidth="1"/>
    <col min="13319" max="13319" width="29.140625" bestFit="1" customWidth="1"/>
    <col min="13569" max="13570" width="10.5703125" bestFit="1" customWidth="1"/>
    <col min="13571" max="13571" width="14.85546875" bestFit="1" customWidth="1"/>
    <col min="13572" max="13572" width="27" customWidth="1"/>
    <col min="13573" max="13573" width="15.42578125" bestFit="1" customWidth="1"/>
    <col min="13574" max="13574" width="20" bestFit="1" customWidth="1"/>
    <col min="13575" max="13575" width="29.140625" bestFit="1" customWidth="1"/>
    <col min="13825" max="13826" width="10.5703125" bestFit="1" customWidth="1"/>
    <col min="13827" max="13827" width="14.85546875" bestFit="1" customWidth="1"/>
    <col min="13828" max="13828" width="27" customWidth="1"/>
    <col min="13829" max="13829" width="15.42578125" bestFit="1" customWidth="1"/>
    <col min="13830" max="13830" width="20" bestFit="1" customWidth="1"/>
    <col min="13831" max="13831" width="29.140625" bestFit="1" customWidth="1"/>
    <col min="14081" max="14082" width="10.5703125" bestFit="1" customWidth="1"/>
    <col min="14083" max="14083" width="14.85546875" bestFit="1" customWidth="1"/>
    <col min="14084" max="14084" width="27" customWidth="1"/>
    <col min="14085" max="14085" width="15.42578125" bestFit="1" customWidth="1"/>
    <col min="14086" max="14086" width="20" bestFit="1" customWidth="1"/>
    <col min="14087" max="14087" width="29.140625" bestFit="1" customWidth="1"/>
    <col min="14337" max="14338" width="10.5703125" bestFit="1" customWidth="1"/>
    <col min="14339" max="14339" width="14.85546875" bestFit="1" customWidth="1"/>
    <col min="14340" max="14340" width="27" customWidth="1"/>
    <col min="14341" max="14341" width="15.42578125" bestFit="1" customWidth="1"/>
    <col min="14342" max="14342" width="20" bestFit="1" customWidth="1"/>
    <col min="14343" max="14343" width="29.140625" bestFit="1" customWidth="1"/>
    <col min="14593" max="14594" width="10.5703125" bestFit="1" customWidth="1"/>
    <col min="14595" max="14595" width="14.85546875" bestFit="1" customWidth="1"/>
    <col min="14596" max="14596" width="27" customWidth="1"/>
    <col min="14597" max="14597" width="15.42578125" bestFit="1" customWidth="1"/>
    <col min="14598" max="14598" width="20" bestFit="1" customWidth="1"/>
    <col min="14599" max="14599" width="29.140625" bestFit="1" customWidth="1"/>
    <col min="14849" max="14850" width="10.5703125" bestFit="1" customWidth="1"/>
    <col min="14851" max="14851" width="14.85546875" bestFit="1" customWidth="1"/>
    <col min="14852" max="14852" width="27" customWidth="1"/>
    <col min="14853" max="14853" width="15.42578125" bestFit="1" customWidth="1"/>
    <col min="14854" max="14854" width="20" bestFit="1" customWidth="1"/>
    <col min="14855" max="14855" width="29.140625" bestFit="1" customWidth="1"/>
    <col min="15105" max="15106" width="10.5703125" bestFit="1" customWidth="1"/>
    <col min="15107" max="15107" width="14.85546875" bestFit="1" customWidth="1"/>
    <col min="15108" max="15108" width="27" customWidth="1"/>
    <col min="15109" max="15109" width="15.42578125" bestFit="1" customWidth="1"/>
    <col min="15110" max="15110" width="20" bestFit="1" customWidth="1"/>
    <col min="15111" max="15111" width="29.140625" bestFit="1" customWidth="1"/>
    <col min="15361" max="15362" width="10.5703125" bestFit="1" customWidth="1"/>
    <col min="15363" max="15363" width="14.85546875" bestFit="1" customWidth="1"/>
    <col min="15364" max="15364" width="27" customWidth="1"/>
    <col min="15365" max="15365" width="15.42578125" bestFit="1" customWidth="1"/>
    <col min="15366" max="15366" width="20" bestFit="1" customWidth="1"/>
    <col min="15367" max="15367" width="29.140625" bestFit="1" customWidth="1"/>
    <col min="15617" max="15618" width="10.5703125" bestFit="1" customWidth="1"/>
    <col min="15619" max="15619" width="14.85546875" bestFit="1" customWidth="1"/>
    <col min="15620" max="15620" width="27" customWidth="1"/>
    <col min="15621" max="15621" width="15.42578125" bestFit="1" customWidth="1"/>
    <col min="15622" max="15622" width="20" bestFit="1" customWidth="1"/>
    <col min="15623" max="15623" width="29.140625" bestFit="1" customWidth="1"/>
    <col min="15873" max="15874" width="10.5703125" bestFit="1" customWidth="1"/>
    <col min="15875" max="15875" width="14.85546875" bestFit="1" customWidth="1"/>
    <col min="15876" max="15876" width="27" customWidth="1"/>
    <col min="15877" max="15877" width="15.42578125" bestFit="1" customWidth="1"/>
    <col min="15878" max="15878" width="20" bestFit="1" customWidth="1"/>
    <col min="15879" max="15879" width="29.140625" bestFit="1" customWidth="1"/>
    <col min="16129" max="16130" width="10.5703125" bestFit="1" customWidth="1"/>
    <col min="16131" max="16131" width="14.85546875" bestFit="1" customWidth="1"/>
    <col min="16132" max="16132" width="27" customWidth="1"/>
    <col min="16133" max="16133" width="15.42578125" bestFit="1" customWidth="1"/>
    <col min="16134" max="16134" width="20" bestFit="1" customWidth="1"/>
    <col min="16135" max="16135" width="29.140625" bestFit="1" customWidth="1"/>
  </cols>
  <sheetData>
    <row r="1" spans="1:7" x14ac:dyDescent="0.25">
      <c r="A1" s="13" t="s">
        <v>36</v>
      </c>
      <c r="B1" s="13" t="s">
        <v>37</v>
      </c>
      <c r="C1" s="13" t="s">
        <v>38</v>
      </c>
      <c r="D1" s="13" t="s">
        <v>39</v>
      </c>
      <c r="E1" s="13" t="s">
        <v>40</v>
      </c>
      <c r="F1" s="26" t="s">
        <v>160</v>
      </c>
      <c r="G1" s="26" t="s">
        <v>161</v>
      </c>
    </row>
    <row r="2" spans="1:7" x14ac:dyDescent="0.25">
      <c r="A2" s="17" t="s">
        <v>162</v>
      </c>
      <c r="B2" s="27">
        <v>0.32</v>
      </c>
      <c r="C2" s="17" t="s">
        <v>42</v>
      </c>
      <c r="D2" s="28" t="s">
        <v>163</v>
      </c>
      <c r="E2" s="17" t="s">
        <v>44</v>
      </c>
      <c r="F2">
        <f>2/0.85</f>
        <v>2.3529411764705883</v>
      </c>
      <c r="G2">
        <f>F2/81</f>
        <v>2.9048656499636893E-2</v>
      </c>
    </row>
    <row r="3" spans="1:7" x14ac:dyDescent="0.25">
      <c r="A3" s="17" t="s">
        <v>164</v>
      </c>
      <c r="B3" s="27">
        <v>0.42</v>
      </c>
      <c r="C3" s="17" t="s">
        <v>46</v>
      </c>
      <c r="D3" s="28" t="s">
        <v>163</v>
      </c>
      <c r="E3" s="17" t="s">
        <v>44</v>
      </c>
      <c r="F3">
        <f>4/0.85</f>
        <v>4.7058823529411766</v>
      </c>
      <c r="G3">
        <f t="shared" ref="G3:G29" si="0">F3/81</f>
        <v>5.8097312999273787E-2</v>
      </c>
    </row>
    <row r="4" spans="1:7" x14ac:dyDescent="0.25">
      <c r="A4" s="17" t="s">
        <v>165</v>
      </c>
      <c r="B4" s="27">
        <v>0.53</v>
      </c>
      <c r="C4" s="17" t="s">
        <v>48</v>
      </c>
      <c r="D4" s="28" t="s">
        <v>163</v>
      </c>
      <c r="E4" s="17" t="s">
        <v>44</v>
      </c>
      <c r="F4">
        <f>8/0.85</f>
        <v>9.4117647058823533</v>
      </c>
      <c r="G4">
        <f t="shared" si="0"/>
        <v>0.11619462599854757</v>
      </c>
    </row>
    <row r="5" spans="1:7" x14ac:dyDescent="0.25">
      <c r="A5" s="17" t="s">
        <v>166</v>
      </c>
      <c r="B5" s="27">
        <v>0.63</v>
      </c>
      <c r="C5" s="17" t="s">
        <v>50</v>
      </c>
      <c r="D5" s="28" t="s">
        <v>163</v>
      </c>
      <c r="E5" s="17" t="s">
        <v>44</v>
      </c>
      <c r="F5">
        <f>12/0.85</f>
        <v>14.117647058823529</v>
      </c>
      <c r="G5">
        <f t="shared" si="0"/>
        <v>0.17429193899782133</v>
      </c>
    </row>
    <row r="6" spans="1:7" ht="26.25" x14ac:dyDescent="0.25">
      <c r="A6" s="17" t="s">
        <v>167</v>
      </c>
      <c r="B6" s="27">
        <v>0.08</v>
      </c>
      <c r="C6" s="17" t="s">
        <v>52</v>
      </c>
      <c r="D6" s="28" t="s">
        <v>53</v>
      </c>
      <c r="E6" s="17" t="s">
        <v>44</v>
      </c>
      <c r="F6">
        <f>5/1.3</f>
        <v>3.8461538461538458</v>
      </c>
      <c r="G6">
        <f t="shared" si="0"/>
        <v>4.7483380816714146E-2</v>
      </c>
    </row>
    <row r="7" spans="1:7" ht="26.25" x14ac:dyDescent="0.25">
      <c r="A7" s="17" t="s">
        <v>168</v>
      </c>
      <c r="B7" s="27">
        <v>0.17</v>
      </c>
      <c r="C7" s="17" t="s">
        <v>55</v>
      </c>
      <c r="D7" s="28" t="s">
        <v>53</v>
      </c>
      <c r="E7" s="17" t="s">
        <v>44</v>
      </c>
      <c r="F7">
        <f>10/1.3</f>
        <v>7.6923076923076916</v>
      </c>
      <c r="G7">
        <f t="shared" si="0"/>
        <v>9.4966761633428293E-2</v>
      </c>
    </row>
    <row r="8" spans="1:7" ht="26.25" x14ac:dyDescent="0.25">
      <c r="A8" s="17" t="s">
        <v>169</v>
      </c>
      <c r="B8" s="27">
        <v>0.21</v>
      </c>
      <c r="C8" s="17" t="s">
        <v>61</v>
      </c>
      <c r="D8" s="28" t="s">
        <v>53</v>
      </c>
      <c r="E8" s="17" t="s">
        <v>44</v>
      </c>
      <c r="F8">
        <f>20/1.3</f>
        <v>15.384615384615383</v>
      </c>
      <c r="G8">
        <f t="shared" si="0"/>
        <v>0.18993352326685659</v>
      </c>
    </row>
    <row r="9" spans="1:7" ht="26.25" x14ac:dyDescent="0.25">
      <c r="A9" s="17" t="s">
        <v>170</v>
      </c>
      <c r="B9" s="27">
        <v>0.42</v>
      </c>
      <c r="C9" s="17" t="s">
        <v>63</v>
      </c>
      <c r="D9" s="28" t="s">
        <v>53</v>
      </c>
      <c r="E9" s="17" t="s">
        <v>44</v>
      </c>
      <c r="F9">
        <f>30/1.3</f>
        <v>23.076923076923077</v>
      </c>
      <c r="G9">
        <f t="shared" si="0"/>
        <v>0.28490028490028491</v>
      </c>
    </row>
    <row r="10" spans="1:7" ht="26.25" x14ac:dyDescent="0.25">
      <c r="A10" s="17" t="s">
        <v>171</v>
      </c>
      <c r="B10" s="27">
        <v>0.21</v>
      </c>
      <c r="C10" s="17" t="s">
        <v>61</v>
      </c>
      <c r="D10" s="28" t="s">
        <v>53</v>
      </c>
      <c r="E10" s="17" t="s">
        <v>44</v>
      </c>
      <c r="F10">
        <f>40/1.3</f>
        <v>30.769230769230766</v>
      </c>
      <c r="G10">
        <f t="shared" si="0"/>
        <v>0.37986704653371317</v>
      </c>
    </row>
    <row r="11" spans="1:7" ht="26.25" x14ac:dyDescent="0.25">
      <c r="A11" s="17" t="s">
        <v>172</v>
      </c>
      <c r="B11" s="27">
        <v>0.42</v>
      </c>
      <c r="C11" s="17" t="s">
        <v>63</v>
      </c>
      <c r="D11" s="28" t="s">
        <v>53</v>
      </c>
      <c r="E11" s="17" t="s">
        <v>44</v>
      </c>
      <c r="F11">
        <f>50/1.3</f>
        <v>38.46153846153846</v>
      </c>
      <c r="G11">
        <f t="shared" si="0"/>
        <v>0.47483380816714149</v>
      </c>
    </row>
    <row r="12" spans="1:7" ht="26.25" x14ac:dyDescent="0.25">
      <c r="A12" s="17" t="s">
        <v>173</v>
      </c>
      <c r="B12" s="27">
        <v>0.09</v>
      </c>
      <c r="C12" s="17" t="s">
        <v>65</v>
      </c>
      <c r="D12" s="28" t="s">
        <v>66</v>
      </c>
      <c r="E12" s="17" t="s">
        <v>44</v>
      </c>
      <c r="F12">
        <f>5/0.95</f>
        <v>5.2631578947368425</v>
      </c>
      <c r="G12">
        <f t="shared" si="0"/>
        <v>6.497725795971411E-2</v>
      </c>
    </row>
    <row r="13" spans="1:7" ht="26.25" x14ac:dyDescent="0.25">
      <c r="A13" s="17" t="s">
        <v>174</v>
      </c>
      <c r="B13" s="27">
        <v>0.18</v>
      </c>
      <c r="C13" s="17" t="s">
        <v>68</v>
      </c>
      <c r="D13" s="28" t="s">
        <v>66</v>
      </c>
      <c r="E13" s="17" t="s">
        <v>44</v>
      </c>
      <c r="F13">
        <f>10/0.95</f>
        <v>10.526315789473685</v>
      </c>
      <c r="G13">
        <f t="shared" si="0"/>
        <v>0.12995451591942822</v>
      </c>
    </row>
    <row r="14" spans="1:7" ht="26.25" x14ac:dyDescent="0.25">
      <c r="A14" s="17" t="s">
        <v>175</v>
      </c>
      <c r="B14" s="27">
        <v>0.27</v>
      </c>
      <c r="C14" s="17" t="s">
        <v>74</v>
      </c>
      <c r="D14" s="28" t="s">
        <v>66</v>
      </c>
      <c r="E14" s="17" t="s">
        <v>44</v>
      </c>
      <c r="F14">
        <f>20/0.95</f>
        <v>21.05263157894737</v>
      </c>
      <c r="G14">
        <f t="shared" si="0"/>
        <v>0.25990903183885644</v>
      </c>
    </row>
    <row r="15" spans="1:7" ht="26.25" x14ac:dyDescent="0.25">
      <c r="A15" s="17" t="s">
        <v>176</v>
      </c>
      <c r="B15" s="27">
        <v>0.45</v>
      </c>
      <c r="C15" s="17" t="s">
        <v>76</v>
      </c>
      <c r="D15" s="28" t="s">
        <v>66</v>
      </c>
      <c r="E15" s="17" t="s">
        <v>44</v>
      </c>
      <c r="F15">
        <f>30/0.95</f>
        <v>31.578947368421055</v>
      </c>
      <c r="G15">
        <f t="shared" si="0"/>
        <v>0.38986354775828463</v>
      </c>
    </row>
    <row r="16" spans="1:7" ht="26.25" x14ac:dyDescent="0.25">
      <c r="A16" s="17" t="s">
        <v>177</v>
      </c>
      <c r="B16" s="27">
        <v>0.27</v>
      </c>
      <c r="C16" s="17" t="s">
        <v>74</v>
      </c>
      <c r="D16" s="28" t="s">
        <v>66</v>
      </c>
      <c r="E16" s="17" t="s">
        <v>44</v>
      </c>
      <c r="F16">
        <f>40/0.95</f>
        <v>42.10526315789474</v>
      </c>
      <c r="G16">
        <f t="shared" si="0"/>
        <v>0.51981806367771288</v>
      </c>
    </row>
    <row r="17" spans="1:7" ht="26.25" x14ac:dyDescent="0.25">
      <c r="A17" s="17" t="s">
        <v>178</v>
      </c>
      <c r="B17" s="27">
        <v>0.45</v>
      </c>
      <c r="C17" s="17" t="s">
        <v>76</v>
      </c>
      <c r="D17" s="28" t="s">
        <v>66</v>
      </c>
      <c r="E17" s="17" t="s">
        <v>44</v>
      </c>
      <c r="F17">
        <f>50/0.95</f>
        <v>52.631578947368425</v>
      </c>
      <c r="G17">
        <f t="shared" si="0"/>
        <v>0.64977257959714108</v>
      </c>
    </row>
    <row r="18" spans="1:7" ht="51.75" x14ac:dyDescent="0.25">
      <c r="A18" s="17" t="s">
        <v>179</v>
      </c>
      <c r="B18" s="27">
        <v>0.09</v>
      </c>
      <c r="C18" s="17" t="s">
        <v>78</v>
      </c>
      <c r="D18" s="28" t="s">
        <v>180</v>
      </c>
      <c r="F18">
        <f>5/0.95</f>
        <v>5.2631578947368425</v>
      </c>
      <c r="G18">
        <f t="shared" si="0"/>
        <v>6.497725795971411E-2</v>
      </c>
    </row>
    <row r="19" spans="1:7" ht="51.75" x14ac:dyDescent="0.25">
      <c r="A19" s="17" t="s">
        <v>181</v>
      </c>
      <c r="B19" s="27">
        <v>0.18</v>
      </c>
      <c r="C19" s="17" t="s">
        <v>81</v>
      </c>
      <c r="D19" s="28" t="s">
        <v>180</v>
      </c>
      <c r="E19" s="17" t="s">
        <v>44</v>
      </c>
      <c r="F19">
        <f>10/0.95</f>
        <v>10.526315789473685</v>
      </c>
      <c r="G19">
        <f t="shared" si="0"/>
        <v>0.12995451591942822</v>
      </c>
    </row>
    <row r="20" spans="1:7" ht="51.75" x14ac:dyDescent="0.25">
      <c r="A20" s="17" t="s">
        <v>182</v>
      </c>
      <c r="B20" s="27">
        <v>0.27</v>
      </c>
      <c r="C20" s="17" t="s">
        <v>87</v>
      </c>
      <c r="D20" s="28" t="s">
        <v>180</v>
      </c>
      <c r="E20" s="17" t="s">
        <v>44</v>
      </c>
      <c r="F20">
        <f>20/0.95</f>
        <v>21.05263157894737</v>
      </c>
      <c r="G20">
        <f t="shared" si="0"/>
        <v>0.25990903183885644</v>
      </c>
    </row>
    <row r="21" spans="1:7" ht="51.75" x14ac:dyDescent="0.25">
      <c r="A21" s="17" t="s">
        <v>183</v>
      </c>
      <c r="B21" s="27">
        <v>0.45</v>
      </c>
      <c r="C21" s="17" t="s">
        <v>89</v>
      </c>
      <c r="D21" s="28" t="s">
        <v>180</v>
      </c>
      <c r="E21" s="17" t="s">
        <v>44</v>
      </c>
      <c r="F21">
        <f>30/0.95</f>
        <v>31.578947368421055</v>
      </c>
      <c r="G21">
        <f t="shared" si="0"/>
        <v>0.38986354775828463</v>
      </c>
    </row>
    <row r="22" spans="1:7" ht="51.75" x14ac:dyDescent="0.25">
      <c r="A22" s="17" t="s">
        <v>184</v>
      </c>
      <c r="B22" s="27">
        <v>0.27</v>
      </c>
      <c r="C22" s="17" t="s">
        <v>87</v>
      </c>
      <c r="D22" s="28" t="s">
        <v>180</v>
      </c>
      <c r="E22" s="17" t="s">
        <v>44</v>
      </c>
      <c r="F22">
        <f>40/0.95</f>
        <v>42.10526315789474</v>
      </c>
      <c r="G22">
        <f t="shared" si="0"/>
        <v>0.51981806367771288</v>
      </c>
    </row>
    <row r="23" spans="1:7" ht="51.75" x14ac:dyDescent="0.25">
      <c r="A23" s="17" t="s">
        <v>185</v>
      </c>
      <c r="B23" s="27">
        <v>0.45</v>
      </c>
      <c r="C23" s="17" t="s">
        <v>89</v>
      </c>
      <c r="D23" s="28" t="s">
        <v>180</v>
      </c>
      <c r="E23" s="17" t="s">
        <v>44</v>
      </c>
      <c r="F23">
        <f>50/0.95</f>
        <v>52.631578947368425</v>
      </c>
      <c r="G23">
        <f t="shared" si="0"/>
        <v>0.64977257959714108</v>
      </c>
    </row>
    <row r="24" spans="1:7" ht="26.25" x14ac:dyDescent="0.25">
      <c r="A24" s="17" t="s">
        <v>186</v>
      </c>
      <c r="B24" s="27">
        <v>0.09</v>
      </c>
      <c r="C24" s="17" t="s">
        <v>91</v>
      </c>
      <c r="D24" s="28" t="s">
        <v>92</v>
      </c>
      <c r="E24" s="17" t="s">
        <v>44</v>
      </c>
      <c r="F24">
        <f>5/0.6</f>
        <v>8.3333333333333339</v>
      </c>
      <c r="G24">
        <f t="shared" si="0"/>
        <v>0.102880658436214</v>
      </c>
    </row>
    <row r="25" spans="1:7" ht="26.25" x14ac:dyDescent="0.25">
      <c r="A25" s="17" t="s">
        <v>187</v>
      </c>
      <c r="B25" s="27">
        <v>0.18</v>
      </c>
      <c r="C25" s="17" t="s">
        <v>94</v>
      </c>
      <c r="D25" s="28" t="s">
        <v>92</v>
      </c>
      <c r="E25" s="17" t="s">
        <v>44</v>
      </c>
      <c r="F25">
        <f>10/0.6</f>
        <v>16.666666666666668</v>
      </c>
      <c r="G25">
        <f t="shared" si="0"/>
        <v>0.20576131687242799</v>
      </c>
    </row>
    <row r="26" spans="1:7" ht="26.25" x14ac:dyDescent="0.25">
      <c r="A26" s="17" t="s">
        <v>188</v>
      </c>
      <c r="B26" s="27">
        <v>0.27</v>
      </c>
      <c r="C26" s="17" t="s">
        <v>189</v>
      </c>
      <c r="D26" s="28" t="s">
        <v>92</v>
      </c>
      <c r="E26" s="17" t="s">
        <v>44</v>
      </c>
      <c r="F26">
        <f>20/0.6</f>
        <v>33.333333333333336</v>
      </c>
      <c r="G26">
        <f t="shared" si="0"/>
        <v>0.41152263374485598</v>
      </c>
    </row>
    <row r="27" spans="1:7" ht="26.25" x14ac:dyDescent="0.25">
      <c r="A27" s="17" t="s">
        <v>190</v>
      </c>
      <c r="B27" s="27">
        <v>0.45</v>
      </c>
      <c r="C27" s="17" t="s">
        <v>191</v>
      </c>
      <c r="D27" s="28" t="s">
        <v>92</v>
      </c>
      <c r="E27" s="17" t="s">
        <v>44</v>
      </c>
      <c r="F27">
        <f>30/0.6</f>
        <v>50</v>
      </c>
      <c r="G27">
        <f t="shared" si="0"/>
        <v>0.61728395061728392</v>
      </c>
    </row>
    <row r="28" spans="1:7" ht="26.25" x14ac:dyDescent="0.25">
      <c r="A28" s="17" t="s">
        <v>192</v>
      </c>
      <c r="B28" s="27"/>
      <c r="C28" s="17"/>
      <c r="D28" s="28" t="s">
        <v>92</v>
      </c>
      <c r="E28" s="17"/>
      <c r="F28">
        <f>40/0.6</f>
        <v>66.666666666666671</v>
      </c>
      <c r="G28">
        <f t="shared" si="0"/>
        <v>0.82304526748971196</v>
      </c>
    </row>
    <row r="29" spans="1:7" ht="26.25" x14ac:dyDescent="0.25">
      <c r="A29" s="17" t="s">
        <v>193</v>
      </c>
      <c r="D29" s="28" t="s">
        <v>92</v>
      </c>
      <c r="F29">
        <f>50/0.6</f>
        <v>83.333333333333343</v>
      </c>
      <c r="G29">
        <f t="shared" si="0"/>
        <v>1.0288065843621401</v>
      </c>
    </row>
    <row r="30" spans="1:7" ht="26.25" x14ac:dyDescent="0.25">
      <c r="A30" s="17" t="s">
        <v>194</v>
      </c>
      <c r="B30" s="27">
        <v>5</v>
      </c>
      <c r="C30" s="17" t="s">
        <v>195</v>
      </c>
      <c r="D30" s="28" t="s">
        <v>196</v>
      </c>
      <c r="E30" s="17" t="s">
        <v>197</v>
      </c>
    </row>
    <row r="31" spans="1:7" ht="26.25" x14ac:dyDescent="0.25">
      <c r="A31" s="17" t="s">
        <v>198</v>
      </c>
      <c r="B31" s="27">
        <v>7</v>
      </c>
      <c r="C31" s="17" t="s">
        <v>195</v>
      </c>
      <c r="D31" s="28" t="s">
        <v>196</v>
      </c>
      <c r="E31" s="17" t="s">
        <v>197</v>
      </c>
    </row>
    <row r="32" spans="1:7" ht="26.25" x14ac:dyDescent="0.25">
      <c r="A32" s="17" t="s">
        <v>199</v>
      </c>
      <c r="B32" s="27">
        <v>10</v>
      </c>
      <c r="C32" s="17" t="s">
        <v>195</v>
      </c>
      <c r="D32" s="28" t="s">
        <v>196</v>
      </c>
      <c r="E32" s="17" t="s">
        <v>197</v>
      </c>
    </row>
    <row r="33" spans="1:5" ht="26.25" x14ac:dyDescent="0.25">
      <c r="A33" s="17" t="s">
        <v>200</v>
      </c>
      <c r="B33" s="27">
        <v>15</v>
      </c>
      <c r="C33" s="17" t="s">
        <v>195</v>
      </c>
      <c r="D33" s="28" t="s">
        <v>196</v>
      </c>
      <c r="E33" s="17" t="s">
        <v>197</v>
      </c>
    </row>
    <row r="34" spans="1:5" ht="26.25" x14ac:dyDescent="0.25">
      <c r="A34" s="17" t="s">
        <v>201</v>
      </c>
      <c r="B34" s="27">
        <v>20</v>
      </c>
      <c r="C34" s="17" t="s">
        <v>195</v>
      </c>
      <c r="D34" s="28" t="s">
        <v>196</v>
      </c>
      <c r="E34" s="17" t="s">
        <v>197</v>
      </c>
    </row>
    <row r="35" spans="1:5" ht="26.25" x14ac:dyDescent="0.25">
      <c r="A35" s="17" t="s">
        <v>202</v>
      </c>
      <c r="B35" s="27">
        <v>25</v>
      </c>
      <c r="C35" s="17" t="s">
        <v>203</v>
      </c>
      <c r="D35" s="28" t="s">
        <v>196</v>
      </c>
      <c r="E35" s="17" t="s">
        <v>204</v>
      </c>
    </row>
    <row r="36" spans="1:5" ht="26.25" x14ac:dyDescent="0.25">
      <c r="A36" s="17" t="s">
        <v>205</v>
      </c>
      <c r="B36" s="27">
        <v>30</v>
      </c>
      <c r="C36" s="17" t="s">
        <v>203</v>
      </c>
      <c r="D36" s="28" t="s">
        <v>196</v>
      </c>
      <c r="E36" s="17" t="s">
        <v>204</v>
      </c>
    </row>
    <row r="37" spans="1:5" ht="26.25" x14ac:dyDescent="0.25">
      <c r="A37" s="17" t="s">
        <v>206</v>
      </c>
      <c r="B37" s="27">
        <v>40</v>
      </c>
      <c r="C37" s="17" t="s">
        <v>203</v>
      </c>
      <c r="D37" s="28" t="s">
        <v>196</v>
      </c>
      <c r="E37" s="17" t="s">
        <v>204</v>
      </c>
    </row>
    <row r="38" spans="1:5" ht="26.25" x14ac:dyDescent="0.25">
      <c r="A38" s="17" t="s">
        <v>207</v>
      </c>
      <c r="B38" s="27">
        <v>50</v>
      </c>
      <c r="C38" s="17" t="s">
        <v>203</v>
      </c>
      <c r="D38" s="28" t="s">
        <v>196</v>
      </c>
      <c r="E38" s="17" t="s">
        <v>204</v>
      </c>
    </row>
    <row r="39" spans="1:5" ht="26.25" x14ac:dyDescent="0.25">
      <c r="A39" s="17" t="s">
        <v>208</v>
      </c>
      <c r="B39" s="27">
        <v>65</v>
      </c>
      <c r="C39" s="17" t="s">
        <v>203</v>
      </c>
      <c r="D39" s="28" t="s">
        <v>196</v>
      </c>
      <c r="E39" s="17" t="s">
        <v>204</v>
      </c>
    </row>
    <row r="40" spans="1:5" ht="26.25" x14ac:dyDescent="0.25">
      <c r="A40" s="17" t="s">
        <v>209</v>
      </c>
      <c r="B40" s="27">
        <v>80</v>
      </c>
      <c r="C40" s="17" t="s">
        <v>203</v>
      </c>
      <c r="D40" s="28" t="s">
        <v>196</v>
      </c>
      <c r="E40" s="17" t="s">
        <v>204</v>
      </c>
    </row>
    <row r="41" spans="1:5" ht="26.25" x14ac:dyDescent="0.25">
      <c r="A41" s="17" t="s">
        <v>210</v>
      </c>
      <c r="B41" s="27">
        <v>100</v>
      </c>
      <c r="C41" s="17" t="s">
        <v>203</v>
      </c>
      <c r="D41" s="28" t="s">
        <v>196</v>
      </c>
      <c r="E41" s="17" t="s">
        <v>204</v>
      </c>
    </row>
    <row r="42" spans="1:5" ht="26.25" x14ac:dyDescent="0.25">
      <c r="A42" s="17" t="s">
        <v>211</v>
      </c>
      <c r="B42" s="27">
        <v>150</v>
      </c>
      <c r="C42" s="17" t="s">
        <v>203</v>
      </c>
      <c r="D42" s="28" t="s">
        <v>196</v>
      </c>
      <c r="E42" s="17" t="s">
        <v>204</v>
      </c>
    </row>
    <row r="43" spans="1:5" ht="26.25" x14ac:dyDescent="0.25">
      <c r="A43" s="17" t="s">
        <v>212</v>
      </c>
      <c r="B43" s="27">
        <v>200</v>
      </c>
      <c r="C43" s="17" t="s">
        <v>203</v>
      </c>
      <c r="D43" s="28" t="s">
        <v>196</v>
      </c>
      <c r="E43" s="17" t="s">
        <v>204</v>
      </c>
    </row>
    <row r="44" spans="1:5" ht="26.25" x14ac:dyDescent="0.25">
      <c r="A44" s="17" t="s">
        <v>213</v>
      </c>
      <c r="B44" s="27">
        <v>250</v>
      </c>
      <c r="C44" s="17" t="s">
        <v>203</v>
      </c>
      <c r="D44" s="28" t="s">
        <v>196</v>
      </c>
      <c r="E44" s="17" t="s">
        <v>204</v>
      </c>
    </row>
    <row r="45" spans="1:5" ht="26.25" x14ac:dyDescent="0.25">
      <c r="A45" s="17" t="s">
        <v>214</v>
      </c>
      <c r="B45" s="27">
        <v>300</v>
      </c>
      <c r="C45" s="17" t="s">
        <v>203</v>
      </c>
      <c r="D45" s="28" t="s">
        <v>196</v>
      </c>
      <c r="E45" s="17" t="s">
        <v>204</v>
      </c>
    </row>
    <row r="46" spans="1:5" x14ac:dyDescent="0.25">
      <c r="A46" s="17" t="s">
        <v>215</v>
      </c>
      <c r="B46" s="27">
        <v>1</v>
      </c>
      <c r="C46" s="17" t="s">
        <v>216</v>
      </c>
      <c r="D46" s="28" t="s">
        <v>217</v>
      </c>
      <c r="E46" s="17" t="s">
        <v>44</v>
      </c>
    </row>
    <row r="47" spans="1:5" x14ac:dyDescent="0.25">
      <c r="A47" s="17" t="s">
        <v>218</v>
      </c>
      <c r="B47" s="27">
        <v>1.5</v>
      </c>
      <c r="C47" s="17" t="s">
        <v>216</v>
      </c>
      <c r="D47" s="28" t="s">
        <v>217</v>
      </c>
      <c r="E47" s="17" t="s">
        <v>44</v>
      </c>
    </row>
    <row r="48" spans="1:5" x14ac:dyDescent="0.25">
      <c r="A48" s="17" t="s">
        <v>219</v>
      </c>
      <c r="B48" s="27">
        <v>2</v>
      </c>
      <c r="C48" s="17" t="s">
        <v>216</v>
      </c>
      <c r="D48" s="28" t="s">
        <v>217</v>
      </c>
      <c r="E48" s="17" t="s">
        <v>44</v>
      </c>
    </row>
    <row r="49" spans="1:5" x14ac:dyDescent="0.25">
      <c r="A49" s="17" t="s">
        <v>220</v>
      </c>
      <c r="B49" s="27">
        <v>4</v>
      </c>
      <c r="C49" s="17" t="s">
        <v>216</v>
      </c>
      <c r="D49" s="28" t="s">
        <v>217</v>
      </c>
      <c r="E49" s="17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117C618FBFB40856EC52F4C60CBC5" ma:contentTypeVersion="18" ma:contentTypeDescription="Create a new document." ma:contentTypeScope="" ma:versionID="49df8a4e50af2e0b35fb1d2cbeaf40b9">
  <xsd:schema xmlns:xsd="http://www.w3.org/2001/XMLSchema" xmlns:xs="http://www.w3.org/2001/XMLSchema" xmlns:p="http://schemas.microsoft.com/office/2006/metadata/properties" xmlns:ns2="8340c1bc-d1cd-4b41-91bb-2c2f20a57517" xmlns:ns3="1891344d-db52-4f9c-9457-ef23ea7639fb" targetNamespace="http://schemas.microsoft.com/office/2006/metadata/properties" ma:root="true" ma:fieldsID="ba476b508b474beda7edf354cc99a575" ns2:_="" ns3:_="">
    <xsd:import namespace="8340c1bc-d1cd-4b41-91bb-2c2f20a57517"/>
    <xsd:import namespace="1891344d-db52-4f9c-9457-ef23ea763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0c1bc-d1cd-4b41-91bb-2c2f20a575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1344d-db52-4f9c-9457-ef23ea7639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5c54d7-cef0-400e-a044-5cf48fe0a388}" ma:internalName="TaxCatchAll" ma:showField="CatchAllData" ma:web="1891344d-db52-4f9c-9457-ef23ea763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0c1bc-d1cd-4b41-91bb-2c2f20a57517">
      <Terms xmlns="http://schemas.microsoft.com/office/infopath/2007/PartnerControls"/>
    </lcf76f155ced4ddcb4097134ff3c332f>
    <TaxCatchAll xmlns="1891344d-db52-4f9c-9457-ef23ea7639fb" xsi:nil="true"/>
  </documentManagement>
</p:properties>
</file>

<file path=customXml/itemProps1.xml><?xml version="1.0" encoding="utf-8"?>
<ds:datastoreItem xmlns:ds="http://schemas.openxmlformats.org/officeDocument/2006/customXml" ds:itemID="{3D0EB3C6-41B8-452C-9843-6FA605DB3B4B}"/>
</file>

<file path=customXml/itemProps2.xml><?xml version="1.0" encoding="utf-8"?>
<ds:datastoreItem xmlns:ds="http://schemas.openxmlformats.org/officeDocument/2006/customXml" ds:itemID="{03D4EBFC-0739-421D-A7C3-772F7AF89204}"/>
</file>

<file path=customXml/itemProps3.xml><?xml version="1.0" encoding="utf-8"?>
<ds:datastoreItem xmlns:ds="http://schemas.openxmlformats.org/officeDocument/2006/customXml" ds:itemID="{47652319-1AA4-4D2E-8122-96641C5282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THICKNESS</vt:lpstr>
      <vt:lpstr>Calculations EPIC pictures</vt:lpstr>
      <vt:lpstr>Calculations PANCAKE</vt:lpstr>
      <vt:lpstr>Calculations NL pictures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Genevieve Nicolas</dc:creator>
  <cp:lastModifiedBy>Genevieve Nicolas</cp:lastModifiedBy>
  <dcterms:created xsi:type="dcterms:W3CDTF">2013-06-04T09:54:50Z</dcterms:created>
  <dcterms:modified xsi:type="dcterms:W3CDTF">2016-04-15T14:55:12Z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0x010100E43117C618FBFB40856EC52F4C60CBC5</vt:lpwstr>
  </property>
</Properties>
</file>